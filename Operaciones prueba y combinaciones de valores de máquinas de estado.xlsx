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600" windowHeight="10400" firstSheet="1" activeTab="1"/>
  </bookViews>
  <sheets>
    <sheet name="Operaciones" sheetId="1" r:id="rId1"/>
    <sheet name="Combinaciones Valid_Data" sheetId="2" r:id="rId2"/>
    <sheet name="Hoja1" sheetId="5" r:id="rId3"/>
    <sheet name="Combinaciones Control_Bus_Out" sheetId="4" r:id="rId4"/>
  </sheets>
  <definedNames>
    <definedName name="_xlnm._FilterDatabase" localSheetId="3" hidden="1">'Combinaciones Control_Bus_Out'!$A$1:$F$181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E1" authorId="0">
      <text>
        <r>
          <rPr>
            <sz val="10"/>
            <rFont val="Arial"/>
            <charset val="134"/>
          </rPr>
          <t>TRUNC((BUS_VALID+2*PADDING-KERNEL)/STRIDE)+1-3
Trunca la división como el operador / de enteros en VHDL.</t>
        </r>
      </text>
    </comment>
    <comment ref="F1" authorId="0">
      <text>
        <r>
          <rPr>
            <sz val="10"/>
            <rFont val="Arial"/>
            <charset val="134"/>
          </rPr>
          <t>Misma fórmula sin truncar la división (división real de Excel).</t>
        </r>
      </text>
    </comment>
  </commentList>
</comments>
</file>

<file path=xl/sharedStrings.xml><?xml version="1.0" encoding="utf-8"?>
<sst xmlns="http://schemas.openxmlformats.org/spreadsheetml/2006/main" count="63" uniqueCount="38">
  <si>
    <t>0,5,4,3,2,1,5,4,3,0,2,1,5,4,3,2,1,5,4,3,2,1,5,4,3,2,1</t>
  </si>
  <si>
    <t>x</t>
  </si>
  <si>
    <t>0,3,2,1,0,0,3,2,1,0,0,0,3,2,1,0,0,3,2,1,0,0,3,2,1,0,0</t>
  </si>
  <si>
    <t>+</t>
  </si>
  <si>
    <t>0,15,8,3,0,0,15,8,3,0,0,0,15,8,3,0,0,15,8,3,0,0,15,8,3,0,0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</si>
  <si>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VALID_DATA</t>
  </si>
  <si>
    <t>COMBINACIONES ESTADO 3 (E3)</t>
  </si>
  <si>
    <t>COMBINACIONES ESTADO 6 (E6)</t>
  </si>
  <si>
    <t>COMBINACIONES ESTADO 11 (E11)</t>
  </si>
  <si>
    <t>COMBINACIONES ESTADO 14 (E14)</t>
  </si>
  <si>
    <t>COMBINACIONES ESTADO 20 (E20)</t>
  </si>
  <si>
    <t>BUS_VALID</t>
  </si>
  <si>
    <t>PADDING</t>
  </si>
  <si>
    <t>N</t>
  </si>
  <si>
    <t>X</t>
  </si>
  <si>
    <t>KERNEL</t>
  </si>
  <si>
    <t>Y</t>
  </si>
  <si>
    <t xml:space="preserve"> </t>
  </si>
  <si>
    <t>✓</t>
  </si>
  <si>
    <t>CON PADDING DE 0</t>
  </si>
  <si>
    <t>Y (real)</t>
  </si>
  <si>
    <t>5x5</t>
  </si>
  <si>
    <t>4x4</t>
  </si>
  <si>
    <t>Y=N-K-1</t>
  </si>
  <si>
    <t>3x3</t>
  </si>
  <si>
    <t>2x2</t>
  </si>
  <si>
    <t>STRIDE</t>
  </si>
  <si>
    <t>X (división entera)</t>
  </si>
  <si>
    <t>X (división real)</t>
  </si>
  <si>
    <t>Resumen</t>
  </si>
  <si>
    <t>Combinaciones</t>
  </si>
  <si>
    <t>X mínimo (entera)</t>
  </si>
  <si>
    <t>X máximo (entera)</t>
  </si>
  <si>
    <t>Divisiones no exactas</t>
  </si>
  <si>
    <t>Fórmula: X = ((BUS_VALID + 2*PADDING - KERNEL)/STRIDE) + 1 - 3</t>
  </si>
  <si>
    <t>Supuesto: la división de la columna E se trunca (como / entre enteros en VHDL).</t>
  </si>
  <si>
    <t>Valores de BUS_VALID, PADDING, KERNEL y STRIDE: tomados de la tabla del usuario (azul).</t>
  </si>
  <si>
    <t>Si X se declara natural/unsigned, el caso X = -1 (BUS_VALID=8, KERNEL=5, PADDING=0, STRIDE=3) no cabe.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</si>
</sst>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\$* #,##0.00_-;\-\$* #,##0.00_-;_-\$* &quot;-&quot;??_-;_-@_-"/>
    <numFmt numFmtId="177" formatCode="_-\$* #,##0_-;\-\$* #,##0_-;_-\$* &quot;-&quot;_-;_-@_-"/>
  </numFmts>
  <fonts count="28">
    <font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b/>
      <sz val="10"/>
      <name val="Arial"/>
      <charset val="134"/>
    </font>
    <font>
      <sz val="10"/>
      <color rgb="FF0000FF"/>
      <name val="Arial"/>
      <charset val="134"/>
    </font>
    <font>
      <sz val="10"/>
      <name val="Arial"/>
      <charset val="134"/>
    </font>
    <font>
      <i/>
      <sz val="10"/>
      <name val="Arial"/>
      <charset val="134"/>
    </font>
    <font>
      <sz val="11"/>
      <color theme="1"/>
      <name val="Aptos Narrow"/>
      <charset val="134"/>
    </font>
    <font>
      <u/>
      <sz val="11"/>
      <color theme="1"/>
      <name val="Aptos Narrow"/>
      <charset val="134"/>
      <scheme val="minor"/>
    </font>
    <font>
      <sz val="8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0" borderId="0"/>
  </cellStyleXfs>
  <cellXfs count="20">
    <xf numFmtId="0" fontId="0" fillId="0" borderId="0" xfId="0"/>
    <xf numFmtId="0" fontId="1" fillId="0" borderId="0" xfId="49"/>
    <xf numFmtId="0" fontId="2" fillId="2" borderId="1" xfId="49" applyFont="1" applyFill="1" applyBorder="1" applyAlignment="1">
      <alignment horizontal="center" vertical="center" wrapText="1"/>
    </xf>
    <xf numFmtId="0" fontId="2" fillId="2" borderId="0" xfId="49" applyFont="1" applyFill="1"/>
    <xf numFmtId="0" fontId="1" fillId="2" borderId="0" xfId="49" applyFill="1"/>
    <xf numFmtId="0" fontId="3" fillId="0" borderId="1" xfId="49" applyFont="1" applyBorder="1" applyAlignment="1">
      <alignment horizontal="center"/>
    </xf>
    <xf numFmtId="0" fontId="4" fillId="0" borderId="1" xfId="49" applyFont="1" applyBorder="1" applyAlignment="1">
      <alignment horizontal="center"/>
    </xf>
    <xf numFmtId="2" fontId="4" fillId="0" borderId="1" xfId="49" applyNumberFormat="1" applyFont="1" applyBorder="1" applyAlignment="1">
      <alignment horizontal="center"/>
    </xf>
    <xf numFmtId="0" fontId="4" fillId="0" borderId="0" xfId="49" applyFont="1"/>
    <xf numFmtId="0" fontId="4" fillId="0" borderId="0" xfId="49" applyFont="1" applyAlignment="1">
      <alignment horizontal="center"/>
    </xf>
    <xf numFmtId="0" fontId="5" fillId="0" borderId="0" xfId="49" applyFont="1"/>
    <xf numFmtId="2" fontId="1" fillId="0" borderId="0" xfId="49" applyNumberFormat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vertical="center"/>
    </xf>
    <xf numFmtId="0" fontId="6" fillId="0" borderId="0" xfId="0" applyFont="1"/>
    <xf numFmtId="0" fontId="7" fillId="0" borderId="0" xfId="0" applyFont="1"/>
    <xf numFmtId="0" fontId="0" fillId="5" borderId="0" xfId="0" applyFill="1" applyAlignment="1">
      <alignment horizontal="center" vertical="center"/>
    </xf>
    <xf numFmtId="0" fontId="8" fillId="0" borderId="0" xfId="0" applyFont="1" applyAlignment="1">
      <alignment horizontal="right"/>
    </xf>
    <xf numFmtId="0" fontId="0" fillId="0" borderId="2" xfId="0" applyBorder="1" applyAlignment="1">
      <alignment horizontal="center" vertical="center"/>
    </xf>
  </cellXfs>
  <cellStyles count="50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2" xfId="49"/>
  </cellStyles>
  <dxfs count="20">
    <dxf>
      <alignment horizontal="center" vertical="center"/>
    </dxf>
    <dxf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a1" displayName="Tabla1" ref="B4:E19" totalsRowShown="0">
  <autoFilter xmlns:etc="http://www.wps.cn/officeDocument/2017/etCustomData" ref="B4:E19" etc:filterBottomFollowUsedRange="0"/>
  <tableColumns count="4">
    <tableColumn id="1" name="BUS_VALID" dataDxfId="0"/>
    <tableColumn id="2" name="PADDING" dataDxfId="1"/>
    <tableColumn id="3" name="N" dataDxfId="2">
      <calculatedColumnFormula>B5+C5</calculatedColumnFormula>
    </tableColumn>
    <tableColumn id="4" name="X" dataDxfId="3">
      <calculatedColumnFormula>Tabla1[[#This Row],[N]]-6+1*Tabla1[[#This Row],[PADDING]]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G4:I64" totalsRowShown="0">
  <autoFilter xmlns:etc="http://www.wps.cn/officeDocument/2017/etCustomData" ref="G4:I64" etc:filterBottomFollowUsedRange="0"/>
  <tableColumns count="3">
    <tableColumn id="1" name="N" dataDxfId="4"/>
    <tableColumn id="2" name="KERNEL" dataDxfId="5"/>
    <tableColumn id="3" name="Y" dataDxfId="6">
      <calculatedColumnFormula>G5-2*H5+7</calculatedColumnFormula>
    </tableColumn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id="3" name="Tabla3" displayName="Tabla3" ref="K4:L19" totalsRowShown="0">
  <autoFilter xmlns:etc="http://www.wps.cn/officeDocument/2017/etCustomData" ref="K4:L19" etc:filterBottomFollowUsedRange="0"/>
  <tableColumns count="2">
    <tableColumn id="1" name="N" dataDxfId="7"/>
    <tableColumn id="2" name="X" dataDxfId="8">
      <calculatedColumnFormula>(K5/2)-2</calculatedColumnFormula>
    </tableColumn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id="4" name="Tabla4" displayName="Tabla4" ref="O4:Q64" totalsRowShown="0">
  <autoFilter xmlns:etc="http://www.wps.cn/officeDocument/2017/etCustomData" ref="O4:Q64" etc:filterBottomFollowUsedRange="0"/>
  <tableColumns count="3">
    <tableColumn id="1" name="N" dataDxfId="9"/>
    <tableColumn id="2" name="KERNEL" dataDxfId="10"/>
    <tableColumn id="3" name="Y" dataDxfId="11">
      <calculatedColumnFormula>(O5-2*P5+7)/2</calculatedColumnFormula>
    </tableColumn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id="5" name="Tabla36" displayName="Tabla36" ref="S4:T19" totalsRowShown="0">
  <autoFilter xmlns:etc="http://www.wps.cn/officeDocument/2017/etCustomData" ref="S4:T19" etc:filterBottomFollowUsedRange="0"/>
  <tableColumns count="2">
    <tableColumn id="1" name="N" dataDxfId="12"/>
    <tableColumn id="2" name="X" dataDxfId="13">
      <calculatedColumnFormula>(Tabla36[[#This Row],[N]]/3)-1</calculatedColumnFormula>
    </tableColumn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id="6" name="Tabla47" displayName="Tabla47" ref="W4:Y64" totalsRowShown="0">
  <autoFilter xmlns:etc="http://www.wps.cn/officeDocument/2017/etCustomData" ref="W4:Y64" etc:filterBottomFollowUsedRange="0"/>
  <tableColumns count="3">
    <tableColumn id="1" name="N" dataDxfId="14"/>
    <tableColumn id="2" name="KERNEL" dataDxfId="15"/>
    <tableColumn id="3" name="Y" dataDxfId="16">
      <calculatedColumnFormula>(W5-2*X5+7)/3</calculatedColumnFormula>
    </tableColumn>
  </tableColumns>
  <tableStyleInfo name="TableStyleLight16" showFirstColumn="0" showLastColumn="0" showRowStripes="1" showColumnStripes="0"/>
</table>
</file>

<file path=xl/tables/table7.xml><?xml version="1.0" encoding="utf-8"?>
<table xmlns="http://schemas.openxmlformats.org/spreadsheetml/2006/main" id="7" name="Tabla28" displayName="Tabla28" ref="G4:I64" totalsRowShown="0">
  <autoFilter xmlns:etc="http://www.wps.cn/officeDocument/2017/etCustomData" ref="G4:I64" etc:filterBottomFollowUsedRange="0"/>
  <tableColumns count="3">
    <tableColumn id="1" name="N" dataDxfId="17"/>
    <tableColumn id="2" name="KERNEL" dataDxfId="18"/>
    <tableColumn id="3" name="Y" dataDxfId="19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8:D12"/>
  <sheetViews>
    <sheetView zoomScale="160" zoomScaleNormal="160" topLeftCell="C1" workbookViewId="0">
      <selection activeCell="D14" sqref="D14"/>
    </sheetView>
  </sheetViews>
  <sheetFormatPr defaultColWidth="11" defaultRowHeight="14" outlineLevelCol="3"/>
  <cols>
    <col min="4" max="4" width="65.775" customWidth="1"/>
    <col min="8" max="8" width="42.775" customWidth="1"/>
  </cols>
  <sheetData>
    <row r="8" spans="3:4">
      <c r="D8" s="13" t="s">
        <v>0</v>
      </c>
    </row>
    <row r="9" spans="3:4">
      <c r="C9" s="18" t="s">
        <v>1</v>
      </c>
      <c r="D9" s="19" t="s">
        <v>2</v>
      </c>
    </row>
    <row r="10" spans="3:4">
      <c r="C10" s="18" t="s">
        <v>3</v>
      </c>
      <c r="D10" s="13" t="s">
        <v>4</v>
      </c>
    </row>
    <row r="11" spans="3:4">
      <c r="D11">
        <f>15+8+3</f>
        <v>26</v>
      </c>
    </row>
    <row r="12" spans="3:4">
      <c r="D12">
        <f>D11*5</f>
        <v>130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4"/>
  <sheetViews>
    <sheetView tabSelected="1" zoomScale="115" zoomScaleNormal="115" topLeftCell="A6" workbookViewId="0">
      <selection activeCell="E28" sqref="E28"/>
    </sheetView>
  </sheetViews>
  <sheetFormatPr defaultColWidth="11" defaultRowHeight="14"/>
  <cols>
    <col min="2" max="2" width="16.8833333333333" style="13" customWidth="1"/>
    <col min="3" max="3" width="14.4416666666667" style="13" customWidth="1"/>
    <col min="4" max="5" width="7.33333333333333" style="13" customWidth="1"/>
    <col min="7" max="7" width="11.5583333333333" style="13"/>
    <col min="8" max="8" width="13.2166666666667" style="13" customWidth="1"/>
    <col min="9" max="9" width="11.5583333333333" style="13"/>
    <col min="16" max="16" width="13.2166666666667" customWidth="1"/>
    <col min="17" max="17" width="11.5583333333333" style="13"/>
    <col min="24" max="24" width="13.2166666666667" customWidth="1"/>
    <col min="25" max="25" width="11.5583333333333" style="13"/>
  </cols>
  <sheetData>
    <row r="1" s="14" customFormat="1" spans="1:25">
      <c r="A1" s="14" t="s">
        <v>5</v>
      </c>
    </row>
    <row r="3" spans="1:25">
      <c r="B3" s="12" t="s">
        <v>6</v>
      </c>
      <c r="C3" s="12"/>
      <c r="D3" s="12"/>
      <c r="E3" s="12"/>
      <c r="G3" s="12" t="s">
        <v>7</v>
      </c>
      <c r="H3" s="12"/>
      <c r="I3" s="12"/>
      <c r="K3" s="12" t="s">
        <v>8</v>
      </c>
      <c r="L3" s="12"/>
      <c r="M3" s="12"/>
      <c r="O3" s="12" t="s">
        <v>9</v>
      </c>
      <c r="P3" s="12"/>
      <c r="Q3" s="12"/>
      <c r="S3" s="12" t="s">
        <v>10</v>
      </c>
      <c r="T3" s="12"/>
      <c r="U3" s="12"/>
      <c r="W3" s="12" t="s">
        <v>9</v>
      </c>
      <c r="X3" s="12"/>
      <c r="Y3" s="12"/>
    </row>
    <row r="4" spans="1:25">
      <c r="B4" s="13" t="s">
        <v>11</v>
      </c>
      <c r="C4" s="13" t="s">
        <v>12</v>
      </c>
      <c r="D4" s="13" t="s">
        <v>13</v>
      </c>
      <c r="E4" s="13" t="s">
        <v>14</v>
      </c>
      <c r="G4" s="13" t="s">
        <v>13</v>
      </c>
      <c r="H4" s="13" t="s">
        <v>15</v>
      </c>
      <c r="I4" s="13" t="s">
        <v>16</v>
      </c>
      <c r="K4" s="13" t="s">
        <v>13</v>
      </c>
      <c r="L4" s="13" t="s">
        <v>14</v>
      </c>
      <c r="O4" s="13" t="s">
        <v>13</v>
      </c>
      <c r="P4" s="13" t="s">
        <v>15</v>
      </c>
      <c r="Q4" s="13" t="s">
        <v>16</v>
      </c>
      <c r="S4" s="13" t="s">
        <v>13</v>
      </c>
      <c r="T4" s="13" t="s">
        <v>14</v>
      </c>
      <c r="W4" s="13" t="s">
        <v>13</v>
      </c>
      <c r="X4" s="13" t="s">
        <v>15</v>
      </c>
      <c r="Y4" s="13" t="s">
        <v>16</v>
      </c>
    </row>
    <row r="5" spans="1:25">
      <c r="B5" s="13">
        <v>128</v>
      </c>
      <c r="C5" s="13">
        <v>0</v>
      </c>
      <c r="D5" s="13">
        <f>B5+C5</f>
        <v>128</v>
      </c>
      <c r="E5" s="13">
        <f>Tabla1[[#This Row],[N]]-6+1*Tabla1[[#This Row],[PADDING]]</f>
        <v>122</v>
      </c>
      <c r="G5" s="13">
        <v>128</v>
      </c>
      <c r="H5" s="13">
        <v>2</v>
      </c>
      <c r="I5" s="13">
        <f>G5-2*H5+7</f>
        <v>131</v>
      </c>
      <c r="K5" s="13">
        <v>128</v>
      </c>
      <c r="L5" s="13">
        <f>(K5/2)-2</f>
        <v>62</v>
      </c>
      <c r="O5" s="13">
        <v>128</v>
      </c>
      <c r="P5" s="13">
        <v>2</v>
      </c>
      <c r="Q5" s="13">
        <f>(O5-2*P5+7)/2</f>
        <v>65.5</v>
      </c>
      <c r="S5" s="13">
        <v>128</v>
      </c>
      <c r="T5" s="13">
        <f>(Tabla36[[#This Row],[N]]/3)-1</f>
        <v>41.6666666666667</v>
      </c>
      <c r="W5" s="13">
        <v>128</v>
      </c>
      <c r="X5" s="13">
        <v>2</v>
      </c>
      <c r="Y5" s="13">
        <f t="shared" ref="Y5:Y36" si="0">(W5-2*X5+7)/3</f>
        <v>43.6666666666667</v>
      </c>
    </row>
    <row r="6" spans="1:25">
      <c r="B6" s="13">
        <v>128</v>
      </c>
      <c r="C6" s="13">
        <v>1</v>
      </c>
      <c r="D6" s="13">
        <f t="shared" ref="D6:D19" si="1">B6+C6</f>
        <v>129</v>
      </c>
      <c r="E6" s="13">
        <f>Tabla1[[#This Row],[N]]-6+1*Tabla1[[#This Row],[PADDING]]</f>
        <v>124</v>
      </c>
      <c r="G6" s="13">
        <v>128</v>
      </c>
      <c r="H6" s="13">
        <v>3</v>
      </c>
      <c r="I6" s="13">
        <f t="shared" ref="I6:I64" si="2">G6-2*H6+7</f>
        <v>129</v>
      </c>
      <c r="K6" s="13">
        <v>129</v>
      </c>
      <c r="L6" s="13">
        <f t="shared" ref="L6:L19" si="3">(K6/2)-2</f>
        <v>62.5</v>
      </c>
      <c r="O6" s="13">
        <v>128</v>
      </c>
      <c r="P6" s="13">
        <v>3</v>
      </c>
      <c r="Q6" s="13">
        <f t="shared" ref="Q6:Q64" si="4">(O6-2*P6+7)/2</f>
        <v>64.5</v>
      </c>
      <c r="S6" s="13">
        <v>129</v>
      </c>
      <c r="T6" s="13">
        <f>(Tabla36[[#This Row],[N]]/3)-1</f>
        <v>42</v>
      </c>
      <c r="W6" s="13">
        <v>128</v>
      </c>
      <c r="X6" s="13">
        <v>3</v>
      </c>
      <c r="Y6" s="13">
        <f t="shared" si="0"/>
        <v>43</v>
      </c>
    </row>
    <row r="7" spans="1:25">
      <c r="B7" s="13">
        <v>128</v>
      </c>
      <c r="C7" s="13">
        <v>2</v>
      </c>
      <c r="D7" s="13">
        <f t="shared" si="1"/>
        <v>130</v>
      </c>
      <c r="E7" s="13">
        <f>Tabla1[[#This Row],[N]]-6+1*Tabla1[[#This Row],[PADDING]]</f>
        <v>126</v>
      </c>
      <c r="F7" t="s">
        <v>17</v>
      </c>
      <c r="G7" s="13">
        <v>128</v>
      </c>
      <c r="H7" s="13">
        <v>4</v>
      </c>
      <c r="I7" s="13">
        <f t="shared" si="2"/>
        <v>127</v>
      </c>
      <c r="K7" s="13">
        <v>130</v>
      </c>
      <c r="L7" s="13">
        <f t="shared" si="3"/>
        <v>63</v>
      </c>
      <c r="O7" s="13">
        <v>128</v>
      </c>
      <c r="P7" s="13">
        <v>4</v>
      </c>
      <c r="Q7" s="13">
        <f t="shared" si="4"/>
        <v>63.5</v>
      </c>
      <c r="S7" s="13">
        <v>130</v>
      </c>
      <c r="T7" s="13">
        <f>(Tabla36[[#This Row],[N]]/3)-1</f>
        <v>42.3333333333333</v>
      </c>
      <c r="W7" s="13">
        <v>128</v>
      </c>
      <c r="X7" s="13">
        <v>4</v>
      </c>
      <c r="Y7" s="13">
        <f t="shared" si="0"/>
        <v>42.3333333333333</v>
      </c>
    </row>
    <row r="8" spans="1:25">
      <c r="B8" s="13">
        <v>64</v>
      </c>
      <c r="C8" s="13">
        <v>0</v>
      </c>
      <c r="D8" s="13">
        <f t="shared" si="1"/>
        <v>64</v>
      </c>
      <c r="E8" s="13">
        <f>Tabla1[[#This Row],[N]]-6+1*Tabla1[[#This Row],[PADDING]]</f>
        <v>58</v>
      </c>
      <c r="G8" s="13">
        <v>128</v>
      </c>
      <c r="H8" s="13">
        <v>5</v>
      </c>
      <c r="I8" s="13">
        <f t="shared" si="2"/>
        <v>125</v>
      </c>
      <c r="J8" s="15" t="s">
        <v>18</v>
      </c>
      <c r="K8" s="13">
        <v>64</v>
      </c>
      <c r="L8" s="13">
        <f t="shared" si="3"/>
        <v>30</v>
      </c>
      <c r="O8" s="13">
        <v>128</v>
      </c>
      <c r="P8" s="13">
        <v>5</v>
      </c>
      <c r="Q8" s="13">
        <f t="shared" si="4"/>
        <v>62.5</v>
      </c>
      <c r="S8" s="13">
        <v>64</v>
      </c>
      <c r="T8" s="13">
        <f>(Tabla36[[#This Row],[N]]/3)-1</f>
        <v>20.3333333333333</v>
      </c>
      <c r="W8" s="13">
        <v>128</v>
      </c>
      <c r="X8" s="13">
        <v>5</v>
      </c>
      <c r="Y8" s="13">
        <f t="shared" si="0"/>
        <v>41.6666666666667</v>
      </c>
    </row>
    <row r="9" spans="1:25">
      <c r="B9" s="13">
        <v>64</v>
      </c>
      <c r="C9" s="13">
        <v>1</v>
      </c>
      <c r="D9" s="13">
        <f t="shared" si="1"/>
        <v>65</v>
      </c>
      <c r="E9" s="13">
        <f>Tabla1[[#This Row],[N]]-6+1*Tabla1[[#This Row],[PADDING]]</f>
        <v>60</v>
      </c>
      <c r="G9" s="13">
        <v>129</v>
      </c>
      <c r="H9" s="13">
        <v>2</v>
      </c>
      <c r="I9" s="13">
        <f t="shared" si="2"/>
        <v>132</v>
      </c>
      <c r="K9" s="13">
        <v>65</v>
      </c>
      <c r="L9" s="13">
        <f t="shared" si="3"/>
        <v>30.5</v>
      </c>
      <c r="O9" s="13">
        <v>129</v>
      </c>
      <c r="P9" s="13">
        <v>2</v>
      </c>
      <c r="Q9" s="13">
        <f t="shared" si="4"/>
        <v>66</v>
      </c>
      <c r="S9" s="13">
        <v>65</v>
      </c>
      <c r="T9" s="13">
        <f>(Tabla36[[#This Row],[N]]/3)-1</f>
        <v>20.6666666666667</v>
      </c>
      <c r="W9" s="13">
        <v>129</v>
      </c>
      <c r="X9" s="13">
        <v>2</v>
      </c>
      <c r="Y9" s="13">
        <f t="shared" si="0"/>
        <v>44</v>
      </c>
    </row>
    <row r="10" spans="1:25">
      <c r="B10" s="13">
        <v>64</v>
      </c>
      <c r="C10" s="13">
        <v>2</v>
      </c>
      <c r="D10" s="13">
        <f t="shared" si="1"/>
        <v>66</v>
      </c>
      <c r="E10" s="13">
        <f>Tabla1[[#This Row],[N]]-6+1*Tabla1[[#This Row],[PADDING]]</f>
        <v>62</v>
      </c>
      <c r="G10" s="13">
        <v>129</v>
      </c>
      <c r="H10" s="13">
        <v>3</v>
      </c>
      <c r="I10" s="13">
        <f t="shared" si="2"/>
        <v>130</v>
      </c>
      <c r="K10" s="13">
        <v>66</v>
      </c>
      <c r="L10" s="13">
        <f t="shared" si="3"/>
        <v>31</v>
      </c>
      <c r="O10" s="13">
        <v>129</v>
      </c>
      <c r="P10" s="13">
        <v>3</v>
      </c>
      <c r="Q10" s="13">
        <f t="shared" si="4"/>
        <v>65</v>
      </c>
      <c r="S10" s="13">
        <v>66</v>
      </c>
      <c r="T10" s="13">
        <f>(Tabla36[[#This Row],[N]]/3)-1</f>
        <v>21</v>
      </c>
      <c r="W10" s="13">
        <v>129</v>
      </c>
      <c r="X10" s="13">
        <v>3</v>
      </c>
      <c r="Y10" s="13">
        <f t="shared" si="0"/>
        <v>43.3333333333333</v>
      </c>
    </row>
    <row r="11" spans="1:25">
      <c r="B11" s="13">
        <v>32</v>
      </c>
      <c r="C11" s="13">
        <v>0</v>
      </c>
      <c r="D11" s="13">
        <f t="shared" si="1"/>
        <v>32</v>
      </c>
      <c r="E11" s="13">
        <f>Tabla1[[#This Row],[N]]-6+1*Tabla1[[#This Row],[PADDING]]</f>
        <v>26</v>
      </c>
      <c r="F11" t="s">
        <v>17</v>
      </c>
      <c r="G11" s="13">
        <v>129</v>
      </c>
      <c r="H11" s="13">
        <v>4</v>
      </c>
      <c r="I11" s="13">
        <f t="shared" si="2"/>
        <v>128</v>
      </c>
      <c r="K11" s="13">
        <v>32</v>
      </c>
      <c r="L11" s="13">
        <f t="shared" si="3"/>
        <v>14</v>
      </c>
      <c r="O11" s="13">
        <v>129</v>
      </c>
      <c r="P11" s="13">
        <v>4</v>
      </c>
      <c r="Q11" s="13">
        <f t="shared" si="4"/>
        <v>64</v>
      </c>
      <c r="S11" s="13">
        <v>32</v>
      </c>
      <c r="T11" s="13">
        <f>(Tabla36[[#This Row],[N]]/3)-1</f>
        <v>9.66666666666667</v>
      </c>
      <c r="W11" s="13">
        <v>129</v>
      </c>
      <c r="X11" s="13">
        <v>4</v>
      </c>
      <c r="Y11" s="13">
        <f t="shared" si="0"/>
        <v>42.6666666666667</v>
      </c>
    </row>
    <row r="12" spans="1:25">
      <c r="B12" s="13">
        <v>32</v>
      </c>
      <c r="C12" s="13">
        <v>1</v>
      </c>
      <c r="D12" s="13">
        <f t="shared" si="1"/>
        <v>33</v>
      </c>
      <c r="E12" s="13">
        <f>Tabla1[[#This Row],[N]]-6+1*Tabla1[[#This Row],[PADDING]]</f>
        <v>28</v>
      </c>
      <c r="G12" s="13">
        <v>129</v>
      </c>
      <c r="H12" s="13">
        <v>5</v>
      </c>
      <c r="I12" s="13">
        <f t="shared" si="2"/>
        <v>126</v>
      </c>
      <c r="K12" s="13">
        <v>33</v>
      </c>
      <c r="L12" s="13">
        <f t="shared" si="3"/>
        <v>14.5</v>
      </c>
      <c r="N12" t="s">
        <v>17</v>
      </c>
      <c r="O12" s="13">
        <v>129</v>
      </c>
      <c r="P12" s="13">
        <v>5</v>
      </c>
      <c r="Q12" s="13">
        <f t="shared" si="4"/>
        <v>63</v>
      </c>
      <c r="S12" s="13">
        <v>33</v>
      </c>
      <c r="T12" s="13">
        <f>(Tabla36[[#This Row],[N]]/3)-1</f>
        <v>10</v>
      </c>
      <c r="W12" s="13">
        <v>129</v>
      </c>
      <c r="X12" s="13">
        <v>5</v>
      </c>
      <c r="Y12" s="13">
        <f t="shared" si="0"/>
        <v>42</v>
      </c>
    </row>
    <row r="13" spans="1:25">
      <c r="B13" s="13">
        <v>32</v>
      </c>
      <c r="C13" s="13">
        <v>2</v>
      </c>
      <c r="D13" s="13">
        <f t="shared" si="1"/>
        <v>34</v>
      </c>
      <c r="E13" s="13">
        <f>Tabla1[[#This Row],[N]]-6+1*Tabla1[[#This Row],[PADDING]]</f>
        <v>30</v>
      </c>
      <c r="G13" s="13">
        <v>130</v>
      </c>
      <c r="H13" s="13">
        <v>2</v>
      </c>
      <c r="I13" s="13">
        <f t="shared" si="2"/>
        <v>133</v>
      </c>
      <c r="K13" s="13">
        <v>34</v>
      </c>
      <c r="L13" s="13">
        <f t="shared" si="3"/>
        <v>15</v>
      </c>
      <c r="O13" s="13">
        <v>130</v>
      </c>
      <c r="P13" s="13">
        <v>2</v>
      </c>
      <c r="Q13" s="13">
        <f t="shared" si="4"/>
        <v>66.5</v>
      </c>
      <c r="S13" s="13">
        <v>34</v>
      </c>
      <c r="T13" s="13">
        <f>(Tabla36[[#This Row],[N]]/3)-1</f>
        <v>10.3333333333333</v>
      </c>
      <c r="W13" s="13">
        <v>130</v>
      </c>
      <c r="X13" s="13">
        <v>2</v>
      </c>
      <c r="Y13" s="13">
        <f t="shared" si="0"/>
        <v>44.3333333333333</v>
      </c>
    </row>
    <row r="14" spans="1:25">
      <c r="B14" s="13">
        <v>16</v>
      </c>
      <c r="C14" s="13">
        <v>0</v>
      </c>
      <c r="D14" s="13">
        <f t="shared" si="1"/>
        <v>16</v>
      </c>
      <c r="E14" s="13">
        <f>Tabla1[[#This Row],[N]]-6+1*Tabla1[[#This Row],[PADDING]]</f>
        <v>10</v>
      </c>
      <c r="F14" s="16"/>
      <c r="G14" s="13">
        <v>130</v>
      </c>
      <c r="H14" s="13">
        <v>3</v>
      </c>
      <c r="I14" s="13">
        <f t="shared" si="2"/>
        <v>131</v>
      </c>
      <c r="K14" s="13">
        <v>16</v>
      </c>
      <c r="L14" s="13">
        <f t="shared" si="3"/>
        <v>6</v>
      </c>
      <c r="O14" s="13">
        <v>130</v>
      </c>
      <c r="P14" s="13">
        <v>3</v>
      </c>
      <c r="Q14" s="13">
        <f t="shared" si="4"/>
        <v>65.5</v>
      </c>
      <c r="S14" s="13">
        <v>16</v>
      </c>
      <c r="T14" s="13">
        <f>(Tabla36[[#This Row],[N]]/3)-1</f>
        <v>4.33333333333333</v>
      </c>
      <c r="W14" s="13">
        <v>130</v>
      </c>
      <c r="X14" s="13">
        <v>3</v>
      </c>
      <c r="Y14" s="13">
        <f t="shared" si="0"/>
        <v>43.6666666666667</v>
      </c>
    </row>
    <row r="15" spans="1:25">
      <c r="B15" s="13">
        <v>16</v>
      </c>
      <c r="C15" s="13">
        <v>1</v>
      </c>
      <c r="D15" s="13">
        <f t="shared" si="1"/>
        <v>17</v>
      </c>
      <c r="E15" s="13">
        <f>Tabla1[[#This Row],[N]]-6+1*Tabla1[[#This Row],[PADDING]]</f>
        <v>12</v>
      </c>
      <c r="G15" s="13">
        <v>130</v>
      </c>
      <c r="H15" s="13">
        <v>4</v>
      </c>
      <c r="I15" s="13">
        <f t="shared" si="2"/>
        <v>129</v>
      </c>
      <c r="K15" s="13">
        <v>17</v>
      </c>
      <c r="L15" s="13">
        <f t="shared" si="3"/>
        <v>6.5</v>
      </c>
      <c r="O15" s="13">
        <v>130</v>
      </c>
      <c r="P15" s="13">
        <v>4</v>
      </c>
      <c r="Q15" s="13">
        <f t="shared" si="4"/>
        <v>64.5</v>
      </c>
      <c r="S15" s="13">
        <v>17</v>
      </c>
      <c r="T15" s="13">
        <f>(Tabla36[[#This Row],[N]]/3)-1</f>
        <v>4.66666666666667</v>
      </c>
      <c r="W15" s="13">
        <v>130</v>
      </c>
      <c r="X15" s="13">
        <v>4</v>
      </c>
      <c r="Y15" s="13">
        <f t="shared" si="0"/>
        <v>43</v>
      </c>
    </row>
    <row r="16" spans="1:25">
      <c r="B16" s="13">
        <v>16</v>
      </c>
      <c r="C16" s="13">
        <v>2</v>
      </c>
      <c r="D16" s="13">
        <f t="shared" si="1"/>
        <v>18</v>
      </c>
      <c r="E16" s="13">
        <f>Tabla1[[#This Row],[N]]-6+1*Tabla1[[#This Row],[PADDING]]</f>
        <v>14</v>
      </c>
      <c r="G16" s="13">
        <v>130</v>
      </c>
      <c r="H16" s="13">
        <v>5</v>
      </c>
      <c r="I16" s="13">
        <f t="shared" si="2"/>
        <v>127</v>
      </c>
      <c r="K16" s="13">
        <v>18</v>
      </c>
      <c r="L16" s="13">
        <f t="shared" si="3"/>
        <v>7</v>
      </c>
      <c r="O16" s="13">
        <v>130</v>
      </c>
      <c r="P16" s="13">
        <v>5</v>
      </c>
      <c r="Q16" s="13">
        <f t="shared" si="4"/>
        <v>63.5</v>
      </c>
      <c r="S16" s="13">
        <v>18</v>
      </c>
      <c r="T16" s="13">
        <f>(Tabla36[[#This Row],[N]]/3)-1</f>
        <v>5</v>
      </c>
      <c r="W16" s="13">
        <v>130</v>
      </c>
      <c r="X16" s="13">
        <v>5</v>
      </c>
      <c r="Y16" s="13">
        <f t="shared" si="0"/>
        <v>42.3333333333333</v>
      </c>
    </row>
    <row r="17" spans="2:25">
      <c r="B17" s="13">
        <v>8</v>
      </c>
      <c r="C17" s="13">
        <v>0</v>
      </c>
      <c r="D17" s="13">
        <f t="shared" si="1"/>
        <v>8</v>
      </c>
      <c r="E17" s="13">
        <f>Tabla1[[#This Row],[N]]-6+1*Tabla1[[#This Row],[PADDING]]</f>
        <v>2</v>
      </c>
      <c r="G17" s="13">
        <v>64</v>
      </c>
      <c r="H17" s="13">
        <v>2</v>
      </c>
      <c r="I17" s="13">
        <f t="shared" si="2"/>
        <v>67</v>
      </c>
      <c r="K17" s="13">
        <v>8</v>
      </c>
      <c r="L17" s="13">
        <f t="shared" si="3"/>
        <v>2</v>
      </c>
      <c r="O17" s="13">
        <v>64</v>
      </c>
      <c r="P17" s="13">
        <v>2</v>
      </c>
      <c r="Q17" s="13">
        <f t="shared" si="4"/>
        <v>33.5</v>
      </c>
      <c r="S17" s="13">
        <v>8</v>
      </c>
      <c r="T17" s="13">
        <f>(Tabla36[[#This Row],[N]]/3)-1</f>
        <v>1.66666666666667</v>
      </c>
      <c r="W17" s="13">
        <v>64</v>
      </c>
      <c r="X17" s="13">
        <v>2</v>
      </c>
      <c r="Y17" s="13">
        <f t="shared" si="0"/>
        <v>22.3333333333333</v>
      </c>
    </row>
    <row r="18" spans="2:25">
      <c r="B18" s="13">
        <v>8</v>
      </c>
      <c r="C18" s="13">
        <v>1</v>
      </c>
      <c r="D18" s="13">
        <f t="shared" si="1"/>
        <v>9</v>
      </c>
      <c r="E18" s="13">
        <f>Tabla1[[#This Row],[N]]-6+1*Tabla1[[#This Row],[PADDING]]</f>
        <v>4</v>
      </c>
      <c r="G18" s="13">
        <v>64</v>
      </c>
      <c r="H18" s="13">
        <v>3</v>
      </c>
      <c r="I18" s="13">
        <f t="shared" si="2"/>
        <v>65</v>
      </c>
      <c r="K18" s="13">
        <v>9</v>
      </c>
      <c r="L18" s="13">
        <f t="shared" si="3"/>
        <v>2.5</v>
      </c>
      <c r="O18" s="13">
        <v>64</v>
      </c>
      <c r="P18" s="13">
        <v>3</v>
      </c>
      <c r="Q18" s="13">
        <f t="shared" si="4"/>
        <v>32.5</v>
      </c>
      <c r="S18" s="13">
        <v>9</v>
      </c>
      <c r="T18" s="13">
        <f>(Tabla36[[#This Row],[N]]/3)-1</f>
        <v>2</v>
      </c>
      <c r="W18" s="13">
        <v>64</v>
      </c>
      <c r="X18" s="13">
        <v>3</v>
      </c>
      <c r="Y18" s="13">
        <f t="shared" si="0"/>
        <v>21.6666666666667</v>
      </c>
    </row>
    <row r="19" spans="2:25">
      <c r="B19" s="13">
        <v>8</v>
      </c>
      <c r="C19" s="13">
        <v>2</v>
      </c>
      <c r="D19" s="13">
        <f t="shared" si="1"/>
        <v>10</v>
      </c>
      <c r="E19" s="13">
        <f>Tabla1[[#This Row],[N]]-6+1*Tabla1[[#This Row],[PADDING]]</f>
        <v>6</v>
      </c>
      <c r="G19" s="13">
        <v>64</v>
      </c>
      <c r="H19" s="13">
        <v>4</v>
      </c>
      <c r="I19" s="13">
        <f t="shared" si="2"/>
        <v>63</v>
      </c>
      <c r="K19" s="13">
        <v>10</v>
      </c>
      <c r="L19" s="13">
        <f t="shared" si="3"/>
        <v>3</v>
      </c>
      <c r="O19" s="13">
        <v>64</v>
      </c>
      <c r="P19" s="13">
        <v>4</v>
      </c>
      <c r="Q19" s="13">
        <f t="shared" si="4"/>
        <v>31.5</v>
      </c>
      <c r="S19" s="13">
        <v>10</v>
      </c>
      <c r="T19" s="13">
        <f>(Tabla36[[#This Row],[N]]/3)-1</f>
        <v>2.33333333333333</v>
      </c>
      <c r="W19" s="13">
        <v>64</v>
      </c>
      <c r="X19" s="13">
        <v>4</v>
      </c>
      <c r="Y19" s="13">
        <f t="shared" si="0"/>
        <v>21</v>
      </c>
    </row>
    <row r="20" spans="2:25">
      <c r="G20" s="13">
        <v>64</v>
      </c>
      <c r="H20" s="13">
        <v>5</v>
      </c>
      <c r="I20" s="13">
        <f t="shared" si="2"/>
        <v>61</v>
      </c>
      <c r="O20" s="13">
        <v>64</v>
      </c>
      <c r="P20" s="13">
        <v>5</v>
      </c>
      <c r="Q20" s="13">
        <f t="shared" si="4"/>
        <v>30.5</v>
      </c>
      <c r="W20" s="13">
        <v>64</v>
      </c>
      <c r="X20" s="13">
        <v>5</v>
      </c>
      <c r="Y20" s="13">
        <f t="shared" si="0"/>
        <v>20.3333333333333</v>
      </c>
    </row>
    <row r="21" spans="2:25">
      <c r="G21" s="13">
        <v>65</v>
      </c>
      <c r="H21" s="13">
        <v>2</v>
      </c>
      <c r="I21" s="13">
        <f t="shared" si="2"/>
        <v>68</v>
      </c>
      <c r="O21" s="13">
        <v>65</v>
      </c>
      <c r="P21" s="13">
        <v>2</v>
      </c>
      <c r="Q21" s="13">
        <f t="shared" si="4"/>
        <v>34</v>
      </c>
      <c r="W21" s="13">
        <v>65</v>
      </c>
      <c r="X21" s="13">
        <v>2</v>
      </c>
      <c r="Y21" s="13">
        <f t="shared" si="0"/>
        <v>22.6666666666667</v>
      </c>
    </row>
    <row r="22" spans="2:25">
      <c r="G22" s="13">
        <v>65</v>
      </c>
      <c r="H22" s="13">
        <v>3</v>
      </c>
      <c r="I22" s="13">
        <f t="shared" si="2"/>
        <v>66</v>
      </c>
      <c r="O22" s="13">
        <v>65</v>
      </c>
      <c r="P22" s="13">
        <v>3</v>
      </c>
      <c r="Q22" s="13">
        <f t="shared" si="4"/>
        <v>33</v>
      </c>
      <c r="V22" t="s">
        <v>17</v>
      </c>
      <c r="W22" s="13">
        <v>65</v>
      </c>
      <c r="X22" s="13">
        <v>3</v>
      </c>
      <c r="Y22" s="13">
        <f t="shared" si="0"/>
        <v>22</v>
      </c>
    </row>
    <row r="23" spans="2:25">
      <c r="B23" s="17" t="s">
        <v>19</v>
      </c>
      <c r="C23" s="17"/>
      <c r="D23" s="17"/>
      <c r="E23" s="17"/>
      <c r="G23" s="13">
        <v>65</v>
      </c>
      <c r="H23" s="13">
        <v>4</v>
      </c>
      <c r="I23" s="13">
        <f t="shared" si="2"/>
        <v>64</v>
      </c>
      <c r="O23" s="13">
        <v>65</v>
      </c>
      <c r="P23" s="13">
        <v>4</v>
      </c>
      <c r="Q23" s="13">
        <f t="shared" si="4"/>
        <v>32</v>
      </c>
      <c r="W23" s="13">
        <v>65</v>
      </c>
      <c r="X23" s="13">
        <v>4</v>
      </c>
      <c r="Y23" s="13">
        <f t="shared" si="0"/>
        <v>21.3333333333333</v>
      </c>
    </row>
    <row r="24" spans="2:25">
      <c r="B24" s="13" t="s">
        <v>13</v>
      </c>
      <c r="C24" s="13" t="s">
        <v>15</v>
      </c>
      <c r="D24" s="13" t="s">
        <v>16</v>
      </c>
      <c r="E24" s="13" t="s">
        <v>20</v>
      </c>
      <c r="G24" s="13">
        <v>65</v>
      </c>
      <c r="H24" s="13">
        <v>5</v>
      </c>
      <c r="I24" s="13">
        <f t="shared" si="2"/>
        <v>62</v>
      </c>
      <c r="O24" s="13">
        <v>65</v>
      </c>
      <c r="P24" s="13">
        <v>5</v>
      </c>
      <c r="Q24" s="13">
        <f t="shared" si="4"/>
        <v>31</v>
      </c>
      <c r="W24" s="13">
        <v>65</v>
      </c>
      <c r="X24" s="13">
        <v>5</v>
      </c>
      <c r="Y24" s="13">
        <f t="shared" si="0"/>
        <v>20.6666666666667</v>
      </c>
    </row>
    <row r="25" spans="2:25">
      <c r="B25" s="13">
        <v>128</v>
      </c>
      <c r="C25" s="13" t="s">
        <v>21</v>
      </c>
      <c r="D25" s="13">
        <v>123</v>
      </c>
      <c r="E25" s="13">
        <v>122</v>
      </c>
      <c r="G25" s="13">
        <v>66</v>
      </c>
      <c r="H25" s="13">
        <v>2</v>
      </c>
      <c r="I25" s="13">
        <f t="shared" si="2"/>
        <v>69</v>
      </c>
      <c r="O25" s="13">
        <v>66</v>
      </c>
      <c r="P25" s="13">
        <v>2</v>
      </c>
      <c r="Q25" s="13">
        <f t="shared" si="4"/>
        <v>34.5</v>
      </c>
      <c r="W25" s="13">
        <v>66</v>
      </c>
      <c r="X25" s="13">
        <v>2</v>
      </c>
      <c r="Y25" s="13">
        <f t="shared" si="0"/>
        <v>23</v>
      </c>
    </row>
    <row r="26" spans="2:25">
      <c r="B26" s="13">
        <v>128</v>
      </c>
      <c r="C26" s="13" t="s">
        <v>22</v>
      </c>
      <c r="D26" s="13">
        <v>124</v>
      </c>
      <c r="E26" s="13">
        <v>123</v>
      </c>
      <c r="G26" s="13">
        <v>66</v>
      </c>
      <c r="H26" s="13">
        <v>3</v>
      </c>
      <c r="I26" s="13">
        <f t="shared" si="2"/>
        <v>67</v>
      </c>
      <c r="K26" t="s">
        <v>23</v>
      </c>
      <c r="O26" s="13">
        <v>66</v>
      </c>
      <c r="P26" s="13">
        <v>3</v>
      </c>
      <c r="Q26" s="13">
        <f t="shared" si="4"/>
        <v>33.5</v>
      </c>
      <c r="W26" s="13">
        <v>66</v>
      </c>
      <c r="X26" s="13">
        <v>3</v>
      </c>
      <c r="Y26" s="13">
        <f t="shared" si="0"/>
        <v>22.3333333333333</v>
      </c>
    </row>
    <row r="27" spans="2:25">
      <c r="B27" s="13">
        <v>128</v>
      </c>
      <c r="C27" s="13" t="s">
        <v>24</v>
      </c>
      <c r="D27" s="13">
        <v>125</v>
      </c>
      <c r="E27" s="13">
        <v>124</v>
      </c>
      <c r="G27" s="13">
        <v>66</v>
      </c>
      <c r="H27" s="13">
        <v>4</v>
      </c>
      <c r="I27" s="13">
        <f t="shared" si="2"/>
        <v>65</v>
      </c>
      <c r="O27" s="13">
        <v>66</v>
      </c>
      <c r="P27" s="13">
        <v>4</v>
      </c>
      <c r="Q27" s="13">
        <f t="shared" si="4"/>
        <v>32.5</v>
      </c>
      <c r="W27" s="13">
        <v>66</v>
      </c>
      <c r="X27" s="13">
        <v>4</v>
      </c>
      <c r="Y27" s="13">
        <f t="shared" si="0"/>
        <v>21.6666666666667</v>
      </c>
    </row>
    <row r="28" spans="2:25">
      <c r="B28" s="13">
        <v>128</v>
      </c>
      <c r="C28" s="13" t="s">
        <v>25</v>
      </c>
      <c r="D28" s="13">
        <v>126</v>
      </c>
      <c r="E28" s="13">
        <v>125</v>
      </c>
      <c r="G28" s="13">
        <v>66</v>
      </c>
      <c r="H28" s="13">
        <v>5</v>
      </c>
      <c r="I28" s="13">
        <f t="shared" si="2"/>
        <v>63</v>
      </c>
      <c r="O28" s="13">
        <v>66</v>
      </c>
      <c r="P28" s="13">
        <v>5</v>
      </c>
      <c r="Q28" s="13">
        <f t="shared" si="4"/>
        <v>31.5</v>
      </c>
      <c r="W28" s="13">
        <v>66</v>
      </c>
      <c r="X28" s="13">
        <v>5</v>
      </c>
      <c r="Y28" s="13">
        <f t="shared" si="0"/>
        <v>21</v>
      </c>
    </row>
    <row r="29" spans="2:25">
      <c r="G29" s="13">
        <v>32</v>
      </c>
      <c r="H29" s="13">
        <v>2</v>
      </c>
      <c r="I29" s="13">
        <f t="shared" si="2"/>
        <v>35</v>
      </c>
      <c r="O29" s="13">
        <v>32</v>
      </c>
      <c r="P29" s="13">
        <v>2</v>
      </c>
      <c r="Q29" s="13">
        <f t="shared" si="4"/>
        <v>17.5</v>
      </c>
      <c r="W29" s="13">
        <v>32</v>
      </c>
      <c r="X29" s="13">
        <v>2</v>
      </c>
      <c r="Y29" s="13">
        <f t="shared" si="0"/>
        <v>11.6666666666667</v>
      </c>
    </row>
    <row r="30" spans="2:25">
      <c r="G30" s="13">
        <v>32</v>
      </c>
      <c r="H30" s="13">
        <v>3</v>
      </c>
      <c r="I30" s="13">
        <f t="shared" si="2"/>
        <v>33</v>
      </c>
      <c r="O30" s="13">
        <v>32</v>
      </c>
      <c r="P30" s="13">
        <v>3</v>
      </c>
      <c r="Q30" s="13">
        <f t="shared" si="4"/>
        <v>16.5</v>
      </c>
      <c r="W30" s="13">
        <v>32</v>
      </c>
      <c r="X30" s="13">
        <v>3</v>
      </c>
      <c r="Y30" s="13">
        <f t="shared" si="0"/>
        <v>11</v>
      </c>
    </row>
    <row r="31" spans="2:25">
      <c r="G31" s="13">
        <v>32</v>
      </c>
      <c r="H31" s="13">
        <v>4</v>
      </c>
      <c r="I31" s="13">
        <f t="shared" si="2"/>
        <v>31</v>
      </c>
      <c r="O31" s="13">
        <v>32</v>
      </c>
      <c r="P31" s="13">
        <v>4</v>
      </c>
      <c r="Q31" s="13">
        <f t="shared" si="4"/>
        <v>15.5</v>
      </c>
      <c r="W31" s="13">
        <v>32</v>
      </c>
      <c r="X31" s="13">
        <v>4</v>
      </c>
      <c r="Y31" s="13">
        <f t="shared" si="0"/>
        <v>10.3333333333333</v>
      </c>
    </row>
    <row r="32" spans="2:25">
      <c r="G32" s="13">
        <v>32</v>
      </c>
      <c r="H32" s="13">
        <v>5</v>
      </c>
      <c r="I32" s="13">
        <f t="shared" si="2"/>
        <v>29</v>
      </c>
      <c r="O32" s="13">
        <v>32</v>
      </c>
      <c r="P32" s="13">
        <v>5</v>
      </c>
      <c r="Q32" s="13">
        <f t="shared" si="4"/>
        <v>14.5</v>
      </c>
      <c r="W32" s="13">
        <v>32</v>
      </c>
      <c r="X32" s="13">
        <v>5</v>
      </c>
      <c r="Y32" s="13">
        <f t="shared" si="0"/>
        <v>9.66666666666667</v>
      </c>
    </row>
    <row r="33" spans="7:25">
      <c r="G33" s="13">
        <v>33</v>
      </c>
      <c r="H33" s="13">
        <v>2</v>
      </c>
      <c r="I33" s="13">
        <f t="shared" si="2"/>
        <v>36</v>
      </c>
      <c r="O33" s="13">
        <v>33</v>
      </c>
      <c r="P33" s="13">
        <v>2</v>
      </c>
      <c r="Q33" s="13">
        <f t="shared" si="4"/>
        <v>18</v>
      </c>
      <c r="W33" s="13">
        <v>33</v>
      </c>
      <c r="X33" s="13">
        <v>2</v>
      </c>
      <c r="Y33" s="13">
        <f t="shared" si="0"/>
        <v>12</v>
      </c>
    </row>
    <row r="34" spans="7:25">
      <c r="G34" s="13">
        <v>33</v>
      </c>
      <c r="H34" s="13">
        <v>3</v>
      </c>
      <c r="I34" s="13">
        <f t="shared" si="2"/>
        <v>34</v>
      </c>
      <c r="O34" s="13">
        <v>33</v>
      </c>
      <c r="P34" s="13">
        <v>3</v>
      </c>
      <c r="Q34" s="13">
        <f t="shared" si="4"/>
        <v>17</v>
      </c>
      <c r="W34" s="13">
        <v>33</v>
      </c>
      <c r="X34" s="13">
        <v>3</v>
      </c>
      <c r="Y34" s="13">
        <f t="shared" si="0"/>
        <v>11.3333333333333</v>
      </c>
    </row>
    <row r="35" spans="7:25">
      <c r="G35" s="13">
        <v>33</v>
      </c>
      <c r="H35" s="13">
        <v>4</v>
      </c>
      <c r="I35" s="13">
        <f t="shared" si="2"/>
        <v>32</v>
      </c>
      <c r="O35" s="13">
        <v>33</v>
      </c>
      <c r="P35" s="13">
        <v>4</v>
      </c>
      <c r="Q35" s="13">
        <f t="shared" si="4"/>
        <v>16</v>
      </c>
      <c r="W35" s="13">
        <v>33</v>
      </c>
      <c r="X35" s="13">
        <v>4</v>
      </c>
      <c r="Y35" s="13">
        <f t="shared" si="0"/>
        <v>10.6666666666667</v>
      </c>
    </row>
    <row r="36" spans="7:25">
      <c r="G36" s="13">
        <v>33</v>
      </c>
      <c r="H36" s="13">
        <v>5</v>
      </c>
      <c r="I36" s="13">
        <f t="shared" si="2"/>
        <v>30</v>
      </c>
      <c r="O36" s="13">
        <v>33</v>
      </c>
      <c r="P36" s="13">
        <v>5</v>
      </c>
      <c r="Q36" s="13">
        <f t="shared" si="4"/>
        <v>15</v>
      </c>
      <c r="W36" s="13">
        <v>33</v>
      </c>
      <c r="X36" s="13">
        <v>5</v>
      </c>
      <c r="Y36" s="13">
        <f t="shared" si="0"/>
        <v>10</v>
      </c>
    </row>
    <row r="37" spans="7:25">
      <c r="G37" s="13">
        <v>34</v>
      </c>
      <c r="H37" s="13">
        <v>2</v>
      </c>
      <c r="I37" s="13">
        <f t="shared" si="2"/>
        <v>37</v>
      </c>
      <c r="O37" s="13">
        <v>34</v>
      </c>
      <c r="P37" s="13">
        <v>2</v>
      </c>
      <c r="Q37" s="13">
        <f t="shared" si="4"/>
        <v>18.5</v>
      </c>
      <c r="W37" s="13">
        <v>34</v>
      </c>
      <c r="X37" s="13">
        <v>2</v>
      </c>
      <c r="Y37" s="13">
        <f t="shared" ref="Y37:Y64" si="5">(W37-2*X37+7)/3</f>
        <v>12.3333333333333</v>
      </c>
    </row>
    <row r="38" spans="7:25">
      <c r="G38" s="13">
        <v>34</v>
      </c>
      <c r="H38" s="13">
        <v>3</v>
      </c>
      <c r="I38" s="13">
        <f t="shared" si="2"/>
        <v>35</v>
      </c>
      <c r="O38" s="13">
        <v>34</v>
      </c>
      <c r="P38" s="13">
        <v>3</v>
      </c>
      <c r="Q38" s="13">
        <f t="shared" si="4"/>
        <v>17.5</v>
      </c>
      <c r="W38" s="13">
        <v>34</v>
      </c>
      <c r="X38" s="13">
        <v>3</v>
      </c>
      <c r="Y38" s="13">
        <f t="shared" si="5"/>
        <v>11.6666666666667</v>
      </c>
    </row>
    <row r="39" spans="7:25">
      <c r="G39" s="13">
        <v>34</v>
      </c>
      <c r="H39" s="13">
        <v>4</v>
      </c>
      <c r="I39" s="13">
        <f t="shared" si="2"/>
        <v>33</v>
      </c>
      <c r="O39" s="13">
        <v>34</v>
      </c>
      <c r="P39" s="13">
        <v>4</v>
      </c>
      <c r="Q39" s="13">
        <f t="shared" si="4"/>
        <v>16.5</v>
      </c>
      <c r="W39" s="13">
        <v>34</v>
      </c>
      <c r="X39" s="13">
        <v>4</v>
      </c>
      <c r="Y39" s="13">
        <f t="shared" si="5"/>
        <v>11</v>
      </c>
    </row>
    <row r="40" spans="7:25">
      <c r="G40" s="13">
        <v>34</v>
      </c>
      <c r="H40" s="13">
        <v>5</v>
      </c>
      <c r="I40" s="13">
        <f t="shared" si="2"/>
        <v>31</v>
      </c>
      <c r="O40" s="13">
        <v>34</v>
      </c>
      <c r="P40" s="13">
        <v>5</v>
      </c>
      <c r="Q40" s="13">
        <f t="shared" si="4"/>
        <v>15.5</v>
      </c>
      <c r="W40" s="13">
        <v>34</v>
      </c>
      <c r="X40" s="13">
        <v>5</v>
      </c>
      <c r="Y40" s="13">
        <f t="shared" si="5"/>
        <v>10.3333333333333</v>
      </c>
    </row>
    <row r="41" spans="7:25">
      <c r="G41" s="13">
        <v>16</v>
      </c>
      <c r="H41" s="13">
        <v>2</v>
      </c>
      <c r="I41" s="13">
        <f t="shared" si="2"/>
        <v>19</v>
      </c>
      <c r="O41" s="13">
        <v>16</v>
      </c>
      <c r="P41" s="13">
        <v>2</v>
      </c>
      <c r="Q41" s="13">
        <f t="shared" si="4"/>
        <v>9.5</v>
      </c>
      <c r="W41" s="13">
        <v>16</v>
      </c>
      <c r="X41" s="13">
        <v>2</v>
      </c>
      <c r="Y41" s="13">
        <f t="shared" si="5"/>
        <v>6.33333333333333</v>
      </c>
    </row>
    <row r="42" spans="7:25">
      <c r="G42" s="13">
        <v>16</v>
      </c>
      <c r="H42" s="13">
        <v>3</v>
      </c>
      <c r="I42" s="13">
        <f t="shared" si="2"/>
        <v>17</v>
      </c>
      <c r="O42" s="13">
        <v>16</v>
      </c>
      <c r="P42" s="13">
        <v>3</v>
      </c>
      <c r="Q42" s="13">
        <f t="shared" si="4"/>
        <v>8.5</v>
      </c>
      <c r="W42" s="13">
        <v>16</v>
      </c>
      <c r="X42" s="13">
        <v>3</v>
      </c>
      <c r="Y42" s="13">
        <f t="shared" si="5"/>
        <v>5.66666666666667</v>
      </c>
    </row>
    <row r="43" spans="7:25">
      <c r="G43" s="13">
        <v>16</v>
      </c>
      <c r="H43" s="13">
        <v>4</v>
      </c>
      <c r="I43" s="13">
        <f t="shared" si="2"/>
        <v>15</v>
      </c>
      <c r="O43" s="13">
        <v>16</v>
      </c>
      <c r="P43" s="13">
        <v>4</v>
      </c>
      <c r="Q43" s="13">
        <f t="shared" si="4"/>
        <v>7.5</v>
      </c>
      <c r="W43" s="13">
        <v>16</v>
      </c>
      <c r="X43" s="13">
        <v>4</v>
      </c>
      <c r="Y43" s="13">
        <f t="shared" si="5"/>
        <v>5</v>
      </c>
    </row>
    <row r="44" spans="7:25">
      <c r="G44" s="13">
        <v>16</v>
      </c>
      <c r="H44" s="13">
        <v>5</v>
      </c>
      <c r="I44" s="13">
        <f t="shared" si="2"/>
        <v>13</v>
      </c>
      <c r="O44" s="13">
        <v>16</v>
      </c>
      <c r="P44" s="13">
        <v>5</v>
      </c>
      <c r="Q44" s="13">
        <f t="shared" si="4"/>
        <v>6.5</v>
      </c>
      <c r="W44" s="13">
        <v>16</v>
      </c>
      <c r="X44" s="13">
        <v>5</v>
      </c>
      <c r="Y44" s="13">
        <f t="shared" si="5"/>
        <v>4.33333333333333</v>
      </c>
    </row>
    <row r="45" spans="7:25">
      <c r="G45" s="13">
        <v>17</v>
      </c>
      <c r="H45" s="13">
        <v>2</v>
      </c>
      <c r="I45" s="13">
        <f t="shared" si="2"/>
        <v>20</v>
      </c>
      <c r="O45" s="13">
        <v>17</v>
      </c>
      <c r="P45" s="13">
        <v>2</v>
      </c>
      <c r="Q45" s="13">
        <f t="shared" si="4"/>
        <v>10</v>
      </c>
      <c r="W45" s="13">
        <v>17</v>
      </c>
      <c r="X45" s="13">
        <v>2</v>
      </c>
      <c r="Y45" s="13">
        <f t="shared" si="5"/>
        <v>6.66666666666667</v>
      </c>
    </row>
    <row r="46" spans="7:25">
      <c r="G46" s="13">
        <v>17</v>
      </c>
      <c r="H46" s="13">
        <v>3</v>
      </c>
      <c r="I46" s="13">
        <f t="shared" si="2"/>
        <v>18</v>
      </c>
      <c r="O46" s="13">
        <v>17</v>
      </c>
      <c r="P46" s="13">
        <v>3</v>
      </c>
      <c r="Q46" s="13">
        <f t="shared" si="4"/>
        <v>9</v>
      </c>
      <c r="W46" s="13">
        <v>17</v>
      </c>
      <c r="X46" s="13">
        <v>3</v>
      </c>
      <c r="Y46" s="13">
        <f t="shared" si="5"/>
        <v>6</v>
      </c>
    </row>
    <row r="47" spans="7:25">
      <c r="G47" s="13">
        <v>17</v>
      </c>
      <c r="H47" s="13">
        <v>4</v>
      </c>
      <c r="I47" s="13">
        <f t="shared" si="2"/>
        <v>16</v>
      </c>
      <c r="O47" s="13">
        <v>17</v>
      </c>
      <c r="P47" s="13">
        <v>4</v>
      </c>
      <c r="Q47" s="13">
        <f t="shared" si="4"/>
        <v>8</v>
      </c>
      <c r="W47" s="13">
        <v>17</v>
      </c>
      <c r="X47" s="13">
        <v>4</v>
      </c>
      <c r="Y47" s="13">
        <f t="shared" si="5"/>
        <v>5.33333333333333</v>
      </c>
    </row>
    <row r="48" spans="7:25">
      <c r="G48" s="13">
        <v>17</v>
      </c>
      <c r="H48" s="13">
        <v>5</v>
      </c>
      <c r="I48" s="13">
        <f t="shared" si="2"/>
        <v>14</v>
      </c>
      <c r="O48" s="13">
        <v>17</v>
      </c>
      <c r="P48" s="13">
        <v>5</v>
      </c>
      <c r="Q48" s="13">
        <f t="shared" si="4"/>
        <v>7</v>
      </c>
      <c r="W48" s="13">
        <v>17</v>
      </c>
      <c r="X48" s="13">
        <v>5</v>
      </c>
      <c r="Y48" s="13">
        <f t="shared" si="5"/>
        <v>4.66666666666667</v>
      </c>
    </row>
    <row r="49" spans="7:25">
      <c r="G49" s="13">
        <v>18</v>
      </c>
      <c r="H49" s="13">
        <v>2</v>
      </c>
      <c r="I49" s="13">
        <f t="shared" si="2"/>
        <v>21</v>
      </c>
      <c r="O49" s="13">
        <v>18</v>
      </c>
      <c r="P49" s="13">
        <v>2</v>
      </c>
      <c r="Q49" s="13">
        <f t="shared" si="4"/>
        <v>10.5</v>
      </c>
      <c r="W49" s="13">
        <v>18</v>
      </c>
      <c r="X49" s="13">
        <v>2</v>
      </c>
      <c r="Y49" s="13">
        <f t="shared" si="5"/>
        <v>7</v>
      </c>
    </row>
    <row r="50" spans="7:25">
      <c r="G50" s="13">
        <v>18</v>
      </c>
      <c r="H50" s="13">
        <v>3</v>
      </c>
      <c r="I50" s="13">
        <f t="shared" si="2"/>
        <v>19</v>
      </c>
      <c r="O50" s="13">
        <v>18</v>
      </c>
      <c r="P50" s="13">
        <v>3</v>
      </c>
      <c r="Q50" s="13">
        <f t="shared" si="4"/>
        <v>9.5</v>
      </c>
      <c r="W50" s="13">
        <v>18</v>
      </c>
      <c r="X50" s="13">
        <v>3</v>
      </c>
      <c r="Y50" s="13">
        <f t="shared" si="5"/>
        <v>6.33333333333333</v>
      </c>
    </row>
    <row r="51" spans="7:25">
      <c r="G51" s="13">
        <v>18</v>
      </c>
      <c r="H51" s="13">
        <v>4</v>
      </c>
      <c r="I51" s="13">
        <f t="shared" si="2"/>
        <v>17</v>
      </c>
      <c r="O51" s="13">
        <v>18</v>
      </c>
      <c r="P51" s="13">
        <v>4</v>
      </c>
      <c r="Q51" s="13">
        <f t="shared" si="4"/>
        <v>8.5</v>
      </c>
      <c r="W51" s="13">
        <v>18</v>
      </c>
      <c r="X51" s="13">
        <v>4</v>
      </c>
      <c r="Y51" s="13">
        <f t="shared" si="5"/>
        <v>5.66666666666667</v>
      </c>
    </row>
    <row r="52" spans="7:25">
      <c r="G52" s="13">
        <v>18</v>
      </c>
      <c r="H52" s="13">
        <v>5</v>
      </c>
      <c r="I52" s="13">
        <f t="shared" si="2"/>
        <v>15</v>
      </c>
      <c r="O52" s="13">
        <v>18</v>
      </c>
      <c r="P52" s="13">
        <v>5</v>
      </c>
      <c r="Q52" s="13">
        <f t="shared" si="4"/>
        <v>7.5</v>
      </c>
      <c r="W52" s="13">
        <v>18</v>
      </c>
      <c r="X52" s="13">
        <v>5</v>
      </c>
      <c r="Y52" s="13">
        <f t="shared" si="5"/>
        <v>5</v>
      </c>
    </row>
    <row r="53" spans="7:25">
      <c r="G53" s="13">
        <v>8</v>
      </c>
      <c r="H53" s="13">
        <v>2</v>
      </c>
      <c r="I53" s="13">
        <f t="shared" si="2"/>
        <v>11</v>
      </c>
      <c r="O53" s="13">
        <v>8</v>
      </c>
      <c r="P53" s="13">
        <v>2</v>
      </c>
      <c r="Q53" s="13">
        <f t="shared" si="4"/>
        <v>5.5</v>
      </c>
      <c r="W53" s="13">
        <v>8</v>
      </c>
      <c r="X53" s="13">
        <v>2</v>
      </c>
      <c r="Y53" s="13">
        <f t="shared" si="5"/>
        <v>3.66666666666667</v>
      </c>
    </row>
    <row r="54" spans="7:25">
      <c r="G54" s="13">
        <v>8</v>
      </c>
      <c r="H54" s="13">
        <v>3</v>
      </c>
      <c r="I54" s="13">
        <f t="shared" si="2"/>
        <v>9</v>
      </c>
      <c r="O54" s="13">
        <v>8</v>
      </c>
      <c r="P54" s="13">
        <v>3</v>
      </c>
      <c r="Q54" s="13">
        <f t="shared" si="4"/>
        <v>4.5</v>
      </c>
      <c r="W54" s="13">
        <v>8</v>
      </c>
      <c r="X54" s="13">
        <v>3</v>
      </c>
      <c r="Y54" s="13">
        <f t="shared" si="5"/>
        <v>3</v>
      </c>
    </row>
    <row r="55" spans="7:25">
      <c r="G55" s="13">
        <v>8</v>
      </c>
      <c r="H55" s="13">
        <v>4</v>
      </c>
      <c r="I55" s="13">
        <f t="shared" si="2"/>
        <v>7</v>
      </c>
      <c r="O55" s="13">
        <v>8</v>
      </c>
      <c r="P55" s="13">
        <v>4</v>
      </c>
      <c r="Q55" s="13">
        <f t="shared" si="4"/>
        <v>3.5</v>
      </c>
      <c r="W55" s="13">
        <v>8</v>
      </c>
      <c r="X55" s="13">
        <v>4</v>
      </c>
      <c r="Y55" s="13">
        <f t="shared" si="5"/>
        <v>2.33333333333333</v>
      </c>
    </row>
    <row r="56" spans="7:25">
      <c r="G56" s="13">
        <v>8</v>
      </c>
      <c r="H56" s="13">
        <v>5</v>
      </c>
      <c r="I56" s="13">
        <f t="shared" si="2"/>
        <v>5</v>
      </c>
      <c r="O56" s="13">
        <v>8</v>
      </c>
      <c r="P56" s="13">
        <v>5</v>
      </c>
      <c r="Q56" s="13">
        <f t="shared" si="4"/>
        <v>2.5</v>
      </c>
      <c r="W56" s="13">
        <v>8</v>
      </c>
      <c r="X56" s="13">
        <v>5</v>
      </c>
      <c r="Y56" s="13">
        <f t="shared" si="5"/>
        <v>1.66666666666667</v>
      </c>
    </row>
    <row r="57" spans="7:25">
      <c r="G57" s="13">
        <v>9</v>
      </c>
      <c r="H57" s="13">
        <v>2</v>
      </c>
      <c r="I57" s="13">
        <f t="shared" si="2"/>
        <v>12</v>
      </c>
      <c r="O57" s="13">
        <v>9</v>
      </c>
      <c r="P57" s="13">
        <v>2</v>
      </c>
      <c r="Q57" s="13">
        <f t="shared" si="4"/>
        <v>6</v>
      </c>
      <c r="W57" s="13">
        <v>9</v>
      </c>
      <c r="X57" s="13">
        <v>2</v>
      </c>
      <c r="Y57" s="13">
        <f t="shared" si="5"/>
        <v>4</v>
      </c>
    </row>
    <row r="58" spans="7:25">
      <c r="G58" s="13">
        <v>9</v>
      </c>
      <c r="H58" s="13">
        <v>3</v>
      </c>
      <c r="I58" s="13">
        <f t="shared" si="2"/>
        <v>10</v>
      </c>
      <c r="O58" s="13">
        <v>9</v>
      </c>
      <c r="P58" s="13">
        <v>3</v>
      </c>
      <c r="Q58" s="13">
        <f t="shared" si="4"/>
        <v>5</v>
      </c>
      <c r="W58" s="13">
        <v>9</v>
      </c>
      <c r="X58" s="13">
        <v>3</v>
      </c>
      <c r="Y58" s="13">
        <f t="shared" si="5"/>
        <v>3.33333333333333</v>
      </c>
    </row>
    <row r="59" spans="7:25">
      <c r="G59" s="13">
        <v>9</v>
      </c>
      <c r="H59" s="13">
        <v>4</v>
      </c>
      <c r="I59" s="13">
        <f t="shared" si="2"/>
        <v>8</v>
      </c>
      <c r="O59" s="13">
        <v>9</v>
      </c>
      <c r="P59" s="13">
        <v>4</v>
      </c>
      <c r="Q59" s="13">
        <f t="shared" si="4"/>
        <v>4</v>
      </c>
      <c r="W59" s="13">
        <v>9</v>
      </c>
      <c r="X59" s="13">
        <v>4</v>
      </c>
      <c r="Y59" s="13">
        <f t="shared" si="5"/>
        <v>2.66666666666667</v>
      </c>
    </row>
    <row r="60" spans="7:25">
      <c r="G60" s="13">
        <v>9</v>
      </c>
      <c r="H60" s="13">
        <v>5</v>
      </c>
      <c r="I60" s="13">
        <f t="shared" si="2"/>
        <v>6</v>
      </c>
      <c r="O60" s="13">
        <v>9</v>
      </c>
      <c r="P60" s="13">
        <v>5</v>
      </c>
      <c r="Q60" s="13">
        <f t="shared" si="4"/>
        <v>3</v>
      </c>
      <c r="W60" s="13">
        <v>9</v>
      </c>
      <c r="X60" s="13">
        <v>5</v>
      </c>
      <c r="Y60" s="13">
        <f t="shared" si="5"/>
        <v>2</v>
      </c>
    </row>
    <row r="61" spans="7:25">
      <c r="G61" s="13">
        <v>10</v>
      </c>
      <c r="H61" s="13">
        <v>2</v>
      </c>
      <c r="I61" s="13">
        <f t="shared" si="2"/>
        <v>13</v>
      </c>
      <c r="O61" s="13">
        <v>10</v>
      </c>
      <c r="P61" s="13">
        <v>2</v>
      </c>
      <c r="Q61" s="13">
        <f t="shared" si="4"/>
        <v>6.5</v>
      </c>
      <c r="W61" s="13">
        <v>10</v>
      </c>
      <c r="X61" s="13">
        <v>2</v>
      </c>
      <c r="Y61" s="13">
        <f t="shared" si="5"/>
        <v>4.33333333333333</v>
      </c>
    </row>
    <row r="62" spans="7:25">
      <c r="G62" s="13">
        <v>10</v>
      </c>
      <c r="H62" s="13">
        <v>3</v>
      </c>
      <c r="I62" s="13">
        <f t="shared" si="2"/>
        <v>11</v>
      </c>
      <c r="O62" s="13">
        <v>10</v>
      </c>
      <c r="P62" s="13">
        <v>3</v>
      </c>
      <c r="Q62" s="13">
        <f t="shared" si="4"/>
        <v>5.5</v>
      </c>
      <c r="W62" s="13">
        <v>10</v>
      </c>
      <c r="X62" s="13">
        <v>3</v>
      </c>
      <c r="Y62" s="13">
        <f t="shared" si="5"/>
        <v>3.66666666666667</v>
      </c>
    </row>
    <row r="63" spans="7:25">
      <c r="G63" s="13">
        <v>10</v>
      </c>
      <c r="H63" s="13">
        <v>4</v>
      </c>
      <c r="I63" s="13">
        <f t="shared" si="2"/>
        <v>9</v>
      </c>
      <c r="O63" s="13">
        <v>10</v>
      </c>
      <c r="P63" s="13">
        <v>4</v>
      </c>
      <c r="Q63" s="13">
        <f t="shared" si="4"/>
        <v>4.5</v>
      </c>
      <c r="W63" s="13">
        <v>10</v>
      </c>
      <c r="X63" s="13">
        <v>4</v>
      </c>
      <c r="Y63" s="13">
        <f t="shared" si="5"/>
        <v>3</v>
      </c>
    </row>
    <row r="64" spans="7:25">
      <c r="G64" s="13">
        <v>10</v>
      </c>
      <c r="H64" s="13">
        <v>5</v>
      </c>
      <c r="I64" s="13">
        <f t="shared" si="2"/>
        <v>7</v>
      </c>
      <c r="O64" s="13">
        <v>10</v>
      </c>
      <c r="P64" s="13">
        <v>5</v>
      </c>
      <c r="Q64" s="13">
        <f t="shared" si="4"/>
        <v>3.5</v>
      </c>
      <c r="W64" s="13">
        <v>10</v>
      </c>
      <c r="X64" s="13">
        <v>5</v>
      </c>
      <c r="Y64" s="13">
        <f t="shared" si="5"/>
        <v>2.33333333333333</v>
      </c>
    </row>
  </sheetData>
  <mergeCells count="7">
    <mergeCell ref="B3:D3"/>
    <mergeCell ref="G3:I3"/>
    <mergeCell ref="K3:M3"/>
    <mergeCell ref="O3:Q3"/>
    <mergeCell ref="S3:U3"/>
    <mergeCell ref="W3:Y3"/>
    <mergeCell ref="B23:E23"/>
  </mergeCells>
  <pageMargins left="0.7" right="0.7" top="0.75" bottom="0.75" header="0.3" footer="0.3"/>
  <headerFooter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3:I64"/>
  <sheetViews>
    <sheetView zoomScale="115" zoomScaleNormal="115" topLeftCell="E1" workbookViewId="0">
      <selection activeCell="K24" sqref="K24"/>
    </sheetView>
  </sheetViews>
  <sheetFormatPr defaultColWidth="11" defaultRowHeight="14"/>
  <sheetData>
    <row r="3" spans="7:9">
      <c r="G3" s="12" t="s">
        <v>7</v>
      </c>
      <c r="H3" s="12"/>
      <c r="I3" s="12"/>
    </row>
    <row r="4" spans="7:9">
      <c r="G4" s="13" t="s">
        <v>13</v>
      </c>
      <c r="H4" s="13" t="s">
        <v>15</v>
      </c>
      <c r="I4" s="13" t="s">
        <v>16</v>
      </c>
    </row>
    <row r="5" spans="7:9">
      <c r="G5" s="13">
        <v>128</v>
      </c>
      <c r="H5" s="13">
        <v>2</v>
      </c>
      <c r="I5" s="13"/>
    </row>
    <row r="6" spans="7:9">
      <c r="G6" s="13">
        <v>128</v>
      </c>
      <c r="H6" s="13">
        <v>3</v>
      </c>
      <c r="I6" s="13"/>
    </row>
    <row r="7" spans="7:9">
      <c r="G7" s="13">
        <v>128</v>
      </c>
      <c r="H7" s="13">
        <v>4</v>
      </c>
      <c r="I7" s="13"/>
    </row>
    <row r="8" spans="7:9">
      <c r="G8" s="13">
        <v>128</v>
      </c>
      <c r="H8" s="13">
        <v>5</v>
      </c>
      <c r="I8" s="13"/>
    </row>
    <row r="9" spans="7:9">
      <c r="G9" s="13">
        <v>129</v>
      </c>
      <c r="H9" s="13">
        <v>2</v>
      </c>
      <c r="I9" s="13"/>
    </row>
    <row r="10" spans="7:9">
      <c r="G10" s="13">
        <v>129</v>
      </c>
      <c r="H10" s="13">
        <v>3</v>
      </c>
      <c r="I10" s="13"/>
    </row>
    <row r="11" spans="7:9">
      <c r="G11" s="13">
        <v>129</v>
      </c>
      <c r="H11" s="13">
        <v>4</v>
      </c>
      <c r="I11" s="13"/>
    </row>
    <row r="12" spans="7:9">
      <c r="G12" s="13">
        <v>129</v>
      </c>
      <c r="H12" s="13">
        <v>5</v>
      </c>
      <c r="I12" s="13"/>
    </row>
    <row r="13" spans="7:9">
      <c r="G13" s="13">
        <v>130</v>
      </c>
      <c r="H13" s="13">
        <v>2</v>
      </c>
      <c r="I13" s="13"/>
    </row>
    <row r="14" spans="7:9">
      <c r="G14" s="13">
        <v>130</v>
      </c>
      <c r="H14" s="13">
        <v>3</v>
      </c>
      <c r="I14" s="13"/>
    </row>
    <row r="15" spans="7:9">
      <c r="G15" s="13">
        <v>130</v>
      </c>
      <c r="H15" s="13">
        <v>4</v>
      </c>
      <c r="I15" s="13"/>
    </row>
    <row r="16" spans="7:9">
      <c r="G16" s="13">
        <v>130</v>
      </c>
      <c r="H16" s="13">
        <v>5</v>
      </c>
      <c r="I16" s="13"/>
    </row>
    <row r="17" spans="7:9">
      <c r="G17" s="13">
        <v>64</v>
      </c>
      <c r="H17" s="13">
        <v>2</v>
      </c>
      <c r="I17" s="13"/>
    </row>
    <row r="18" spans="7:9">
      <c r="G18" s="13">
        <v>64</v>
      </c>
      <c r="H18" s="13">
        <v>3</v>
      </c>
      <c r="I18" s="13"/>
    </row>
    <row r="19" spans="7:9">
      <c r="G19" s="13">
        <v>64</v>
      </c>
      <c r="H19" s="13">
        <v>4</v>
      </c>
      <c r="I19" s="13"/>
    </row>
    <row r="20" spans="7:9">
      <c r="G20" s="13">
        <v>64</v>
      </c>
      <c r="H20" s="13">
        <v>5</v>
      </c>
      <c r="I20" s="13"/>
    </row>
    <row r="21" spans="7:9">
      <c r="G21" s="13">
        <v>65</v>
      </c>
      <c r="H21" s="13">
        <v>2</v>
      </c>
      <c r="I21" s="13"/>
    </row>
    <row r="22" spans="7:9">
      <c r="G22" s="13">
        <v>65</v>
      </c>
      <c r="H22" s="13">
        <v>3</v>
      </c>
      <c r="I22" s="13"/>
    </row>
    <row r="23" spans="7:9">
      <c r="G23" s="13">
        <v>65</v>
      </c>
      <c r="H23" s="13">
        <v>4</v>
      </c>
      <c r="I23" s="13"/>
    </row>
    <row r="24" spans="7:9">
      <c r="G24" s="13">
        <v>65</v>
      </c>
      <c r="H24" s="13">
        <v>5</v>
      </c>
      <c r="I24" s="13"/>
    </row>
    <row r="25" spans="7:9">
      <c r="G25" s="13">
        <v>66</v>
      </c>
      <c r="H25" s="13">
        <v>2</v>
      </c>
      <c r="I25" s="13"/>
    </row>
    <row r="26" spans="7:9">
      <c r="G26" s="13">
        <v>66</v>
      </c>
      <c r="H26" s="13">
        <v>3</v>
      </c>
      <c r="I26" s="13"/>
    </row>
    <row r="27" spans="7:9">
      <c r="G27" s="13">
        <v>66</v>
      </c>
      <c r="H27" s="13">
        <v>4</v>
      </c>
      <c r="I27" s="13"/>
    </row>
    <row r="28" spans="7:9">
      <c r="G28" s="13">
        <v>66</v>
      </c>
      <c r="H28" s="13">
        <v>5</v>
      </c>
      <c r="I28" s="13"/>
    </row>
    <row r="29" spans="7:9">
      <c r="G29" s="13">
        <v>32</v>
      </c>
      <c r="H29" s="13">
        <v>2</v>
      </c>
      <c r="I29" s="13"/>
    </row>
    <row r="30" spans="7:9">
      <c r="G30" s="13">
        <v>32</v>
      </c>
      <c r="H30" s="13">
        <v>3</v>
      </c>
      <c r="I30" s="13"/>
    </row>
    <row r="31" spans="7:9">
      <c r="G31" s="13">
        <v>32</v>
      </c>
      <c r="H31" s="13">
        <v>4</v>
      </c>
      <c r="I31" s="13"/>
    </row>
    <row r="32" spans="7:9">
      <c r="G32" s="13">
        <v>32</v>
      </c>
      <c r="H32" s="13">
        <v>5</v>
      </c>
      <c r="I32" s="13"/>
    </row>
    <row r="33" spans="7:9">
      <c r="G33" s="13">
        <v>33</v>
      </c>
      <c r="H33" s="13">
        <v>2</v>
      </c>
      <c r="I33" s="13"/>
    </row>
    <row r="34" spans="7:9">
      <c r="G34" s="13">
        <v>33</v>
      </c>
      <c r="H34" s="13">
        <v>3</v>
      </c>
      <c r="I34" s="13"/>
    </row>
    <row r="35" spans="7:9">
      <c r="G35" s="13">
        <v>33</v>
      </c>
      <c r="H35" s="13">
        <v>4</v>
      </c>
      <c r="I35" s="13"/>
    </row>
    <row r="36" spans="7:9">
      <c r="G36" s="13">
        <v>33</v>
      </c>
      <c r="H36" s="13">
        <v>5</v>
      </c>
      <c r="I36" s="13"/>
    </row>
    <row r="37" spans="7:9">
      <c r="G37" s="13">
        <v>34</v>
      </c>
      <c r="H37" s="13">
        <v>2</v>
      </c>
      <c r="I37" s="13"/>
    </row>
    <row r="38" spans="7:9">
      <c r="G38" s="13">
        <v>34</v>
      </c>
      <c r="H38" s="13">
        <v>3</v>
      </c>
      <c r="I38" s="13"/>
    </row>
    <row r="39" spans="7:9">
      <c r="G39" s="13">
        <v>34</v>
      </c>
      <c r="H39" s="13">
        <v>4</v>
      </c>
      <c r="I39" s="13"/>
    </row>
    <row r="40" spans="7:9">
      <c r="G40" s="13">
        <v>34</v>
      </c>
      <c r="H40" s="13">
        <v>5</v>
      </c>
      <c r="I40" s="13"/>
    </row>
    <row r="41" spans="7:9">
      <c r="G41" s="13">
        <v>16</v>
      </c>
      <c r="H41" s="13">
        <v>2</v>
      </c>
      <c r="I41" s="13"/>
    </row>
    <row r="42" spans="7:9">
      <c r="G42" s="13">
        <v>16</v>
      </c>
      <c r="H42" s="13">
        <v>3</v>
      </c>
      <c r="I42" s="13"/>
    </row>
    <row r="43" spans="7:9">
      <c r="G43" s="13">
        <v>16</v>
      </c>
      <c r="H43" s="13">
        <v>4</v>
      </c>
      <c r="I43" s="13"/>
    </row>
    <row r="44" spans="7:9">
      <c r="G44" s="13">
        <v>16</v>
      </c>
      <c r="H44" s="13">
        <v>5</v>
      </c>
      <c r="I44" s="13"/>
    </row>
    <row r="45" spans="7:9">
      <c r="G45" s="13">
        <v>17</v>
      </c>
      <c r="H45" s="13">
        <v>2</v>
      </c>
      <c r="I45" s="13"/>
    </row>
    <row r="46" spans="7:9">
      <c r="G46" s="13">
        <v>17</v>
      </c>
      <c r="H46" s="13">
        <v>3</v>
      </c>
      <c r="I46" s="13"/>
    </row>
    <row r="47" spans="7:9">
      <c r="G47" s="13">
        <v>17</v>
      </c>
      <c r="H47" s="13">
        <v>4</v>
      </c>
      <c r="I47" s="13"/>
    </row>
    <row r="48" spans="7:9">
      <c r="G48" s="13">
        <v>17</v>
      </c>
      <c r="H48" s="13">
        <v>5</v>
      </c>
      <c r="I48" s="13"/>
    </row>
    <row r="49" spans="7:9">
      <c r="G49" s="13">
        <v>18</v>
      </c>
      <c r="H49" s="13">
        <v>2</v>
      </c>
      <c r="I49" s="13"/>
    </row>
    <row r="50" spans="7:9">
      <c r="G50" s="13">
        <v>18</v>
      </c>
      <c r="H50" s="13">
        <v>3</v>
      </c>
      <c r="I50" s="13"/>
    </row>
    <row r="51" spans="7:9">
      <c r="G51" s="13">
        <v>18</v>
      </c>
      <c r="H51" s="13">
        <v>4</v>
      </c>
      <c r="I51" s="13"/>
    </row>
    <row r="52" spans="7:9">
      <c r="G52" s="13">
        <v>18</v>
      </c>
      <c r="H52" s="13">
        <v>5</v>
      </c>
      <c r="I52" s="13"/>
    </row>
    <row r="53" spans="7:9">
      <c r="G53" s="13">
        <v>8</v>
      </c>
      <c r="H53" s="13">
        <v>2</v>
      </c>
      <c r="I53" s="13"/>
    </row>
    <row r="54" spans="7:9">
      <c r="G54" s="13">
        <v>8</v>
      </c>
      <c r="H54" s="13">
        <v>3</v>
      </c>
      <c r="I54" s="13"/>
    </row>
    <row r="55" spans="7:9">
      <c r="G55" s="13">
        <v>8</v>
      </c>
      <c r="H55" s="13">
        <v>4</v>
      </c>
      <c r="I55" s="13"/>
    </row>
    <row r="56" spans="7:9">
      <c r="G56" s="13">
        <v>8</v>
      </c>
      <c r="H56" s="13">
        <v>5</v>
      </c>
      <c r="I56" s="13"/>
    </row>
    <row r="57" spans="7:9">
      <c r="G57" s="13">
        <v>9</v>
      </c>
      <c r="H57" s="13">
        <v>2</v>
      </c>
      <c r="I57" s="13"/>
    </row>
    <row r="58" spans="7:9">
      <c r="G58" s="13">
        <v>9</v>
      </c>
      <c r="H58" s="13">
        <v>3</v>
      </c>
      <c r="I58" s="13"/>
    </row>
    <row r="59" spans="7:9">
      <c r="G59" s="13">
        <v>9</v>
      </c>
      <c r="H59" s="13">
        <v>4</v>
      </c>
      <c r="I59" s="13"/>
    </row>
    <row r="60" spans="7:9">
      <c r="G60" s="13">
        <v>9</v>
      </c>
      <c r="H60" s="13">
        <v>5</v>
      </c>
      <c r="I60" s="13"/>
    </row>
    <row r="61" spans="7:9">
      <c r="G61" s="13">
        <v>10</v>
      </c>
      <c r="H61" s="13">
        <v>2</v>
      </c>
      <c r="I61" s="13"/>
    </row>
    <row r="62" spans="7:9">
      <c r="G62" s="13">
        <v>10</v>
      </c>
      <c r="H62" s="13">
        <v>3</v>
      </c>
      <c r="I62" s="13"/>
    </row>
    <row r="63" spans="7:9">
      <c r="G63" s="13">
        <v>10</v>
      </c>
      <c r="H63" s="13">
        <v>4</v>
      </c>
      <c r="I63" s="13"/>
    </row>
    <row r="64" spans="7:9">
      <c r="G64" s="13">
        <v>10</v>
      </c>
      <c r="H64" s="13">
        <v>5</v>
      </c>
      <c r="I64" s="13"/>
    </row>
  </sheetData>
  <mergeCells count="1">
    <mergeCell ref="G3:I3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1"/>
  <sheetViews>
    <sheetView workbookViewId="0">
      <pane ySplit="1" topLeftCell="A2" activePane="bottomLeft" state="frozen"/>
      <selection/>
      <selection pane="bottomLeft" activeCell="H21" sqref="H21"/>
    </sheetView>
  </sheetViews>
  <sheetFormatPr defaultColWidth="8.66666666666667" defaultRowHeight="14.5"/>
  <cols>
    <col min="1" max="1" width="12" style="1" customWidth="1"/>
    <col min="2" max="4" width="10" style="1" customWidth="1"/>
    <col min="5" max="5" width="20" style="1" customWidth="1"/>
    <col min="6" max="6" width="18" style="1" customWidth="1"/>
    <col min="7" max="7" width="24" style="1" customWidth="1"/>
    <col min="8" max="8" width="31.4416666666667" style="1" customWidth="1"/>
    <col min="9" max="9" width="12" style="1" customWidth="1"/>
    <col min="10" max="16384" width="8.66666666666667" style="1"/>
  </cols>
  <sheetData>
    <row r="1" ht="30" customHeight="1" spans="1:9">
      <c r="A1" s="2" t="s">
        <v>11</v>
      </c>
      <c r="B1" s="2" t="s">
        <v>12</v>
      </c>
      <c r="C1" s="2" t="s">
        <v>15</v>
      </c>
      <c r="D1" s="2" t="s">
        <v>26</v>
      </c>
      <c r="E1" s="2" t="s">
        <v>27</v>
      </c>
      <c r="F1" s="2" t="s">
        <v>28</v>
      </c>
      <c r="H1" s="3" t="s">
        <v>29</v>
      </c>
      <c r="I1" s="4"/>
    </row>
    <row r="2" spans="1:9">
      <c r="A2" s="5">
        <v>128</v>
      </c>
      <c r="B2" s="5">
        <v>0</v>
      </c>
      <c r="C2" s="5">
        <v>5</v>
      </c>
      <c r="D2" s="5">
        <v>3</v>
      </c>
      <c r="E2" s="6">
        <f t="shared" ref="E2:E33" si="0">TRUNC((A2+2*B2-C2)/D2)+1-3</f>
        <v>39</v>
      </c>
      <c r="F2" s="7">
        <f t="shared" ref="F2:F33" si="1">((A2+2*B2-C2)/D2)+1-3</f>
        <v>39</v>
      </c>
      <c r="H2" s="8" t="s">
        <v>30</v>
      </c>
      <c r="I2" s="9">
        <f>COUNT(A2:A181)</f>
        <v>180</v>
      </c>
    </row>
    <row r="3" spans="1:9">
      <c r="A3" s="5">
        <v>128</v>
      </c>
      <c r="B3" s="5">
        <v>0</v>
      </c>
      <c r="C3" s="5">
        <v>5</v>
      </c>
      <c r="D3" s="5">
        <v>2</v>
      </c>
      <c r="E3" s="6">
        <f t="shared" si="0"/>
        <v>59</v>
      </c>
      <c r="F3" s="7">
        <f t="shared" si="1"/>
        <v>59.5</v>
      </c>
      <c r="H3" s="8" t="s">
        <v>31</v>
      </c>
      <c r="I3" s="9">
        <f>MIN(E2:E181)</f>
        <v>-1</v>
      </c>
    </row>
    <row r="4" spans="1:9">
      <c r="A4" s="5">
        <v>128</v>
      </c>
      <c r="B4" s="5">
        <v>0</v>
      </c>
      <c r="C4" s="5">
        <v>5</v>
      </c>
      <c r="D4" s="5">
        <v>1</v>
      </c>
      <c r="E4" s="6">
        <f t="shared" si="0"/>
        <v>121</v>
      </c>
      <c r="F4" s="7">
        <f t="shared" si="1"/>
        <v>121</v>
      </c>
      <c r="H4" s="8" t="s">
        <v>32</v>
      </c>
      <c r="I4" s="9">
        <f>MAX(E2:E181)</f>
        <v>128</v>
      </c>
    </row>
    <row r="5" spans="1:9">
      <c r="A5" s="5">
        <v>128</v>
      </c>
      <c r="B5" s="5">
        <v>0</v>
      </c>
      <c r="C5" s="5">
        <v>4</v>
      </c>
      <c r="D5" s="5">
        <v>3</v>
      </c>
      <c r="E5" s="6">
        <f t="shared" si="0"/>
        <v>39</v>
      </c>
      <c r="F5" s="7">
        <f t="shared" si="1"/>
        <v>39.3333333333333</v>
      </c>
      <c r="H5" s="8" t="s">
        <v>33</v>
      </c>
      <c r="I5" s="9">
        <f>SUMPRODUCT(--(MOD(A2:A181+2*B2:B181-C2:C181,D2:D181)&lt;&gt;0))</f>
        <v>70</v>
      </c>
    </row>
    <row r="6" spans="1:9">
      <c r="A6" s="5">
        <v>128</v>
      </c>
      <c r="B6" s="5">
        <v>0</v>
      </c>
      <c r="C6" s="5">
        <v>4</v>
      </c>
      <c r="D6" s="5">
        <v>2</v>
      </c>
      <c r="E6" s="6">
        <f t="shared" si="0"/>
        <v>60</v>
      </c>
      <c r="F6" s="7">
        <f t="shared" si="1"/>
        <v>60</v>
      </c>
    </row>
    <row r="7" spans="1:9">
      <c r="A7" s="5">
        <v>128</v>
      </c>
      <c r="B7" s="5">
        <v>0</v>
      </c>
      <c r="C7" s="5">
        <v>4</v>
      </c>
      <c r="D7" s="5">
        <v>1</v>
      </c>
      <c r="E7" s="6">
        <f t="shared" si="0"/>
        <v>122</v>
      </c>
      <c r="F7" s="7">
        <f t="shared" si="1"/>
        <v>122</v>
      </c>
      <c r="H7" s="10" t="s">
        <v>34</v>
      </c>
    </row>
    <row r="8" spans="1:9">
      <c r="A8" s="5">
        <v>128</v>
      </c>
      <c r="B8" s="5">
        <v>0</v>
      </c>
      <c r="C8" s="5">
        <v>3</v>
      </c>
      <c r="D8" s="5">
        <v>3</v>
      </c>
      <c r="E8" s="6">
        <f t="shared" si="0"/>
        <v>39</v>
      </c>
      <c r="F8" s="7">
        <f t="shared" si="1"/>
        <v>39.6666666666667</v>
      </c>
      <c r="H8" s="10" t="s">
        <v>35</v>
      </c>
    </row>
    <row r="9" spans="1:9">
      <c r="A9" s="5">
        <v>128</v>
      </c>
      <c r="B9" s="5">
        <v>0</v>
      </c>
      <c r="C9" s="5">
        <v>3</v>
      </c>
      <c r="D9" s="5">
        <v>2</v>
      </c>
      <c r="E9" s="6">
        <f t="shared" si="0"/>
        <v>60</v>
      </c>
      <c r="F9" s="7">
        <f t="shared" si="1"/>
        <v>60.5</v>
      </c>
      <c r="H9" s="10" t="s">
        <v>36</v>
      </c>
    </row>
    <row r="10" spans="1:9">
      <c r="A10" s="5">
        <v>128</v>
      </c>
      <c r="B10" s="5">
        <v>0</v>
      </c>
      <c r="C10" s="5">
        <v>3</v>
      </c>
      <c r="D10" s="5">
        <v>1</v>
      </c>
      <c r="E10" s="6">
        <f t="shared" si="0"/>
        <v>123</v>
      </c>
      <c r="F10" s="7">
        <f t="shared" si="1"/>
        <v>123</v>
      </c>
      <c r="H10" s="10" t="s">
        <v>37</v>
      </c>
    </row>
    <row r="11" spans="1:9">
      <c r="A11" s="5">
        <v>128</v>
      </c>
      <c r="B11" s="5">
        <v>0</v>
      </c>
      <c r="C11" s="5">
        <v>2</v>
      </c>
      <c r="D11" s="5">
        <v>3</v>
      </c>
      <c r="E11" s="6">
        <f t="shared" si="0"/>
        <v>40</v>
      </c>
      <c r="F11" s="7">
        <f t="shared" si="1"/>
        <v>40</v>
      </c>
    </row>
    <row r="12" spans="1:9">
      <c r="A12" s="5">
        <v>128</v>
      </c>
      <c r="B12" s="5">
        <v>0</v>
      </c>
      <c r="C12" s="5">
        <v>2</v>
      </c>
      <c r="D12" s="5">
        <v>2</v>
      </c>
      <c r="E12" s="6">
        <f t="shared" si="0"/>
        <v>61</v>
      </c>
      <c r="F12" s="7">
        <f t="shared" si="1"/>
        <v>61</v>
      </c>
    </row>
    <row r="13" spans="1:9">
      <c r="A13" s="5">
        <v>128</v>
      </c>
      <c r="B13" s="5">
        <v>0</v>
      </c>
      <c r="C13" s="5">
        <v>2</v>
      </c>
      <c r="D13" s="5">
        <v>1</v>
      </c>
      <c r="E13" s="6">
        <f t="shared" si="0"/>
        <v>124</v>
      </c>
      <c r="F13" s="7">
        <f t="shared" si="1"/>
        <v>124</v>
      </c>
      <c r="H13" s="11"/>
    </row>
    <row r="14" spans="1:9">
      <c r="A14" s="5">
        <v>128</v>
      </c>
      <c r="B14" s="5">
        <v>1</v>
      </c>
      <c r="C14" s="5">
        <v>5</v>
      </c>
      <c r="D14" s="5">
        <v>3</v>
      </c>
      <c r="E14" s="6">
        <f t="shared" si="0"/>
        <v>39</v>
      </c>
      <c r="F14" s="7">
        <f t="shared" si="1"/>
        <v>39.6666666666667</v>
      </c>
    </row>
    <row r="15" spans="1:9">
      <c r="A15" s="5">
        <v>128</v>
      </c>
      <c r="B15" s="5">
        <v>1</v>
      </c>
      <c r="C15" s="5">
        <v>5</v>
      </c>
      <c r="D15" s="5">
        <v>2</v>
      </c>
      <c r="E15" s="6">
        <f t="shared" si="0"/>
        <v>60</v>
      </c>
      <c r="F15" s="7">
        <f t="shared" si="1"/>
        <v>60.5</v>
      </c>
    </row>
    <row r="16" spans="1:9">
      <c r="A16" s="5">
        <v>128</v>
      </c>
      <c r="B16" s="5">
        <v>1</v>
      </c>
      <c r="C16" s="5">
        <v>5</v>
      </c>
      <c r="D16" s="5">
        <v>1</v>
      </c>
      <c r="E16" s="6">
        <f t="shared" si="0"/>
        <v>123</v>
      </c>
      <c r="F16" s="7">
        <f t="shared" si="1"/>
        <v>123</v>
      </c>
      <c r="H16" s="11"/>
    </row>
    <row r="17" spans="1:6">
      <c r="A17" s="5">
        <v>128</v>
      </c>
      <c r="B17" s="5">
        <v>1</v>
      </c>
      <c r="C17" s="5">
        <v>4</v>
      </c>
      <c r="D17" s="5">
        <v>3</v>
      </c>
      <c r="E17" s="6">
        <f t="shared" si="0"/>
        <v>40</v>
      </c>
      <c r="F17" s="7">
        <f t="shared" si="1"/>
        <v>40</v>
      </c>
    </row>
    <row r="18" spans="1:6">
      <c r="A18" s="5">
        <v>128</v>
      </c>
      <c r="B18" s="5">
        <v>1</v>
      </c>
      <c r="C18" s="5">
        <v>4</v>
      </c>
      <c r="D18" s="5">
        <v>2</v>
      </c>
      <c r="E18" s="6">
        <f t="shared" si="0"/>
        <v>61</v>
      </c>
      <c r="F18" s="7">
        <f t="shared" si="1"/>
        <v>61</v>
      </c>
    </row>
    <row r="19" spans="1:6">
      <c r="A19" s="5">
        <v>128</v>
      </c>
      <c r="B19" s="5">
        <v>1</v>
      </c>
      <c r="C19" s="5">
        <v>4</v>
      </c>
      <c r="D19" s="5">
        <v>1</v>
      </c>
      <c r="E19" s="6">
        <f t="shared" si="0"/>
        <v>124</v>
      </c>
      <c r="F19" s="7">
        <f t="shared" si="1"/>
        <v>124</v>
      </c>
    </row>
    <row r="20" spans="1:6">
      <c r="A20" s="5">
        <v>128</v>
      </c>
      <c r="B20" s="5">
        <v>1</v>
      </c>
      <c r="C20" s="5">
        <v>3</v>
      </c>
      <c r="D20" s="5">
        <v>3</v>
      </c>
      <c r="E20" s="6">
        <f t="shared" si="0"/>
        <v>40</v>
      </c>
      <c r="F20" s="7">
        <f t="shared" si="1"/>
        <v>40.3333333333333</v>
      </c>
    </row>
    <row r="21" spans="1:6">
      <c r="A21" s="5">
        <v>128</v>
      </c>
      <c r="B21" s="5">
        <v>1</v>
      </c>
      <c r="C21" s="5">
        <v>3</v>
      </c>
      <c r="D21" s="5">
        <v>2</v>
      </c>
      <c r="E21" s="6">
        <f t="shared" si="0"/>
        <v>61</v>
      </c>
      <c r="F21" s="7">
        <f t="shared" si="1"/>
        <v>61.5</v>
      </c>
    </row>
    <row r="22" spans="1:6">
      <c r="A22" s="5">
        <v>128</v>
      </c>
      <c r="B22" s="5">
        <v>1</v>
      </c>
      <c r="C22" s="5">
        <v>3</v>
      </c>
      <c r="D22" s="5">
        <v>1</v>
      </c>
      <c r="E22" s="6">
        <f t="shared" si="0"/>
        <v>125</v>
      </c>
      <c r="F22" s="7">
        <f t="shared" si="1"/>
        <v>125</v>
      </c>
    </row>
    <row r="23" spans="1:6">
      <c r="A23" s="5">
        <v>128</v>
      </c>
      <c r="B23" s="5">
        <v>1</v>
      </c>
      <c r="C23" s="5">
        <v>2</v>
      </c>
      <c r="D23" s="5">
        <v>3</v>
      </c>
      <c r="E23" s="6">
        <f t="shared" si="0"/>
        <v>40</v>
      </c>
      <c r="F23" s="7">
        <f t="shared" si="1"/>
        <v>40.6666666666667</v>
      </c>
    </row>
    <row r="24" spans="1:6">
      <c r="A24" s="5">
        <v>128</v>
      </c>
      <c r="B24" s="5">
        <v>1</v>
      </c>
      <c r="C24" s="5">
        <v>2</v>
      </c>
      <c r="D24" s="5">
        <v>2</v>
      </c>
      <c r="E24" s="6">
        <f t="shared" si="0"/>
        <v>62</v>
      </c>
      <c r="F24" s="7">
        <f t="shared" si="1"/>
        <v>62</v>
      </c>
    </row>
    <row r="25" spans="1:6">
      <c r="A25" s="5">
        <v>128</v>
      </c>
      <c r="B25" s="5">
        <v>1</v>
      </c>
      <c r="C25" s="5">
        <v>2</v>
      </c>
      <c r="D25" s="5">
        <v>1</v>
      </c>
      <c r="E25" s="6">
        <f t="shared" si="0"/>
        <v>126</v>
      </c>
      <c r="F25" s="7">
        <f t="shared" si="1"/>
        <v>126</v>
      </c>
    </row>
    <row r="26" spans="1:6">
      <c r="A26" s="5">
        <v>128</v>
      </c>
      <c r="B26" s="5">
        <v>2</v>
      </c>
      <c r="C26" s="5">
        <v>5</v>
      </c>
      <c r="D26" s="5">
        <v>3</v>
      </c>
      <c r="E26" s="6">
        <f t="shared" si="0"/>
        <v>40</v>
      </c>
      <c r="F26" s="7">
        <f t="shared" si="1"/>
        <v>40.3333333333333</v>
      </c>
    </row>
    <row r="27" spans="1:6">
      <c r="A27" s="5">
        <v>128</v>
      </c>
      <c r="B27" s="5">
        <v>2</v>
      </c>
      <c r="C27" s="5">
        <v>5</v>
      </c>
      <c r="D27" s="5">
        <v>2</v>
      </c>
      <c r="E27" s="6">
        <f t="shared" si="0"/>
        <v>61</v>
      </c>
      <c r="F27" s="7">
        <f t="shared" si="1"/>
        <v>61.5</v>
      </c>
    </row>
    <row r="28" spans="1:6">
      <c r="A28" s="5">
        <v>128</v>
      </c>
      <c r="B28" s="5">
        <v>2</v>
      </c>
      <c r="C28" s="5">
        <v>5</v>
      </c>
      <c r="D28" s="5">
        <v>1</v>
      </c>
      <c r="E28" s="6">
        <f t="shared" si="0"/>
        <v>125</v>
      </c>
      <c r="F28" s="7">
        <f t="shared" si="1"/>
        <v>125</v>
      </c>
    </row>
    <row r="29" spans="1:6">
      <c r="A29" s="5">
        <v>128</v>
      </c>
      <c r="B29" s="5">
        <v>2</v>
      </c>
      <c r="C29" s="5">
        <v>4</v>
      </c>
      <c r="D29" s="5">
        <v>3</v>
      </c>
      <c r="E29" s="6">
        <f t="shared" si="0"/>
        <v>40</v>
      </c>
      <c r="F29" s="7">
        <f t="shared" si="1"/>
        <v>40.6666666666667</v>
      </c>
    </row>
    <row r="30" spans="1:6">
      <c r="A30" s="5">
        <v>128</v>
      </c>
      <c r="B30" s="5">
        <v>2</v>
      </c>
      <c r="C30" s="5">
        <v>4</v>
      </c>
      <c r="D30" s="5">
        <v>2</v>
      </c>
      <c r="E30" s="6">
        <f t="shared" si="0"/>
        <v>62</v>
      </c>
      <c r="F30" s="7">
        <f t="shared" si="1"/>
        <v>62</v>
      </c>
    </row>
    <row r="31" spans="1:6">
      <c r="A31" s="5">
        <v>128</v>
      </c>
      <c r="B31" s="5">
        <v>2</v>
      </c>
      <c r="C31" s="5">
        <v>4</v>
      </c>
      <c r="D31" s="5">
        <v>1</v>
      </c>
      <c r="E31" s="6">
        <f t="shared" si="0"/>
        <v>126</v>
      </c>
      <c r="F31" s="7">
        <f t="shared" si="1"/>
        <v>126</v>
      </c>
    </row>
    <row r="32" spans="1:6">
      <c r="A32" s="5">
        <v>128</v>
      </c>
      <c r="B32" s="5">
        <v>2</v>
      </c>
      <c r="C32" s="5">
        <v>3</v>
      </c>
      <c r="D32" s="5">
        <v>3</v>
      </c>
      <c r="E32" s="6">
        <f t="shared" si="0"/>
        <v>41</v>
      </c>
      <c r="F32" s="7">
        <f t="shared" si="1"/>
        <v>41</v>
      </c>
    </row>
    <row r="33" spans="1:6">
      <c r="A33" s="5">
        <v>128</v>
      </c>
      <c r="B33" s="5">
        <v>2</v>
      </c>
      <c r="C33" s="5">
        <v>3</v>
      </c>
      <c r="D33" s="5">
        <v>2</v>
      </c>
      <c r="E33" s="6">
        <f t="shared" si="0"/>
        <v>62</v>
      </c>
      <c r="F33" s="7">
        <f t="shared" si="1"/>
        <v>62.5</v>
      </c>
    </row>
    <row r="34" spans="1:6">
      <c r="A34" s="5">
        <v>128</v>
      </c>
      <c r="B34" s="5">
        <v>2</v>
      </c>
      <c r="C34" s="5">
        <v>3</v>
      </c>
      <c r="D34" s="5">
        <v>1</v>
      </c>
      <c r="E34" s="6">
        <f t="shared" ref="E34:E65" si="2">TRUNC((A34+2*B34-C34)/D34)+1-3</f>
        <v>127</v>
      </c>
      <c r="F34" s="7">
        <f t="shared" ref="F34:F65" si="3">((A34+2*B34-C34)/D34)+1-3</f>
        <v>127</v>
      </c>
    </row>
    <row r="35" spans="1:6">
      <c r="A35" s="5">
        <v>128</v>
      </c>
      <c r="B35" s="5">
        <v>2</v>
      </c>
      <c r="C35" s="5">
        <v>2</v>
      </c>
      <c r="D35" s="5">
        <v>3</v>
      </c>
      <c r="E35" s="6">
        <f t="shared" si="2"/>
        <v>41</v>
      </c>
      <c r="F35" s="7">
        <f t="shared" si="3"/>
        <v>41.3333333333333</v>
      </c>
    </row>
    <row r="36" spans="1:6">
      <c r="A36" s="5">
        <v>128</v>
      </c>
      <c r="B36" s="5">
        <v>2</v>
      </c>
      <c r="C36" s="5">
        <v>2</v>
      </c>
      <c r="D36" s="5">
        <v>2</v>
      </c>
      <c r="E36" s="6">
        <f t="shared" si="2"/>
        <v>63</v>
      </c>
      <c r="F36" s="7">
        <f t="shared" si="3"/>
        <v>63</v>
      </c>
    </row>
    <row r="37" spans="1:6">
      <c r="A37" s="5">
        <v>128</v>
      </c>
      <c r="B37" s="5">
        <v>2</v>
      </c>
      <c r="C37" s="5">
        <v>2</v>
      </c>
      <c r="D37" s="5">
        <v>1</v>
      </c>
      <c r="E37" s="6">
        <f t="shared" si="2"/>
        <v>128</v>
      </c>
      <c r="F37" s="7">
        <f t="shared" si="3"/>
        <v>128</v>
      </c>
    </row>
    <row r="38" spans="1:6">
      <c r="A38" s="5">
        <v>64</v>
      </c>
      <c r="B38" s="5">
        <v>0</v>
      </c>
      <c r="C38" s="5">
        <v>5</v>
      </c>
      <c r="D38" s="5">
        <v>3</v>
      </c>
      <c r="E38" s="6">
        <f t="shared" si="2"/>
        <v>17</v>
      </c>
      <c r="F38" s="7">
        <f t="shared" si="3"/>
        <v>17.6666666666667</v>
      </c>
    </row>
    <row r="39" spans="1:6">
      <c r="A39" s="5">
        <v>64</v>
      </c>
      <c r="B39" s="5">
        <v>0</v>
      </c>
      <c r="C39" s="5">
        <v>5</v>
      </c>
      <c r="D39" s="5">
        <v>2</v>
      </c>
      <c r="E39" s="6">
        <f t="shared" si="2"/>
        <v>27</v>
      </c>
      <c r="F39" s="7">
        <f t="shared" si="3"/>
        <v>27.5</v>
      </c>
    </row>
    <row r="40" spans="1:6">
      <c r="A40" s="5">
        <v>64</v>
      </c>
      <c r="B40" s="5">
        <v>0</v>
      </c>
      <c r="C40" s="5">
        <v>5</v>
      </c>
      <c r="D40" s="5">
        <v>1</v>
      </c>
      <c r="E40" s="6">
        <f t="shared" si="2"/>
        <v>57</v>
      </c>
      <c r="F40" s="7">
        <f t="shared" si="3"/>
        <v>57</v>
      </c>
    </row>
    <row r="41" spans="1:6">
      <c r="A41" s="5">
        <v>64</v>
      </c>
      <c r="B41" s="5">
        <v>0</v>
      </c>
      <c r="C41" s="5">
        <v>4</v>
      </c>
      <c r="D41" s="5">
        <v>3</v>
      </c>
      <c r="E41" s="6">
        <f t="shared" si="2"/>
        <v>18</v>
      </c>
      <c r="F41" s="7">
        <f t="shared" si="3"/>
        <v>18</v>
      </c>
    </row>
    <row r="42" spans="1:6">
      <c r="A42" s="5">
        <v>64</v>
      </c>
      <c r="B42" s="5">
        <v>0</v>
      </c>
      <c r="C42" s="5">
        <v>4</v>
      </c>
      <c r="D42" s="5">
        <v>2</v>
      </c>
      <c r="E42" s="6">
        <f t="shared" si="2"/>
        <v>28</v>
      </c>
      <c r="F42" s="7">
        <f t="shared" si="3"/>
        <v>28</v>
      </c>
    </row>
    <row r="43" spans="1:6">
      <c r="A43" s="5">
        <v>64</v>
      </c>
      <c r="B43" s="5">
        <v>0</v>
      </c>
      <c r="C43" s="5">
        <v>4</v>
      </c>
      <c r="D43" s="5">
        <v>1</v>
      </c>
      <c r="E43" s="6">
        <f t="shared" si="2"/>
        <v>58</v>
      </c>
      <c r="F43" s="7">
        <f t="shared" si="3"/>
        <v>58</v>
      </c>
    </row>
    <row r="44" spans="1:6">
      <c r="A44" s="5">
        <v>64</v>
      </c>
      <c r="B44" s="5">
        <v>0</v>
      </c>
      <c r="C44" s="5">
        <v>3</v>
      </c>
      <c r="D44" s="5">
        <v>3</v>
      </c>
      <c r="E44" s="6">
        <f t="shared" si="2"/>
        <v>18</v>
      </c>
      <c r="F44" s="7">
        <f t="shared" si="3"/>
        <v>18.3333333333333</v>
      </c>
    </row>
    <row r="45" spans="1:6">
      <c r="A45" s="5">
        <v>64</v>
      </c>
      <c r="B45" s="5">
        <v>0</v>
      </c>
      <c r="C45" s="5">
        <v>3</v>
      </c>
      <c r="D45" s="5">
        <v>2</v>
      </c>
      <c r="E45" s="6">
        <f t="shared" si="2"/>
        <v>28</v>
      </c>
      <c r="F45" s="7">
        <f t="shared" si="3"/>
        <v>28.5</v>
      </c>
    </row>
    <row r="46" spans="1:6">
      <c r="A46" s="5">
        <v>64</v>
      </c>
      <c r="B46" s="5">
        <v>0</v>
      </c>
      <c r="C46" s="5">
        <v>3</v>
      </c>
      <c r="D46" s="5">
        <v>1</v>
      </c>
      <c r="E46" s="6">
        <f t="shared" si="2"/>
        <v>59</v>
      </c>
      <c r="F46" s="7">
        <f t="shared" si="3"/>
        <v>59</v>
      </c>
    </row>
    <row r="47" spans="1:6">
      <c r="A47" s="5">
        <v>64</v>
      </c>
      <c r="B47" s="5">
        <v>0</v>
      </c>
      <c r="C47" s="5">
        <v>2</v>
      </c>
      <c r="D47" s="5">
        <v>3</v>
      </c>
      <c r="E47" s="6">
        <f t="shared" si="2"/>
        <v>18</v>
      </c>
      <c r="F47" s="7">
        <f t="shared" si="3"/>
        <v>18.6666666666667</v>
      </c>
    </row>
    <row r="48" spans="1:6">
      <c r="A48" s="5">
        <v>64</v>
      </c>
      <c r="B48" s="5">
        <v>0</v>
      </c>
      <c r="C48" s="5">
        <v>2</v>
      </c>
      <c r="D48" s="5">
        <v>2</v>
      </c>
      <c r="E48" s="6">
        <f t="shared" si="2"/>
        <v>29</v>
      </c>
      <c r="F48" s="7">
        <f t="shared" si="3"/>
        <v>29</v>
      </c>
    </row>
    <row r="49" spans="1:6">
      <c r="A49" s="5">
        <v>64</v>
      </c>
      <c r="B49" s="5">
        <v>0</v>
      </c>
      <c r="C49" s="5">
        <v>2</v>
      </c>
      <c r="D49" s="5">
        <v>1</v>
      </c>
      <c r="E49" s="6">
        <f t="shared" si="2"/>
        <v>60</v>
      </c>
      <c r="F49" s="7">
        <f t="shared" si="3"/>
        <v>60</v>
      </c>
    </row>
    <row r="50" spans="1:6">
      <c r="A50" s="5">
        <v>64</v>
      </c>
      <c r="B50" s="5">
        <v>1</v>
      </c>
      <c r="C50" s="5">
        <v>5</v>
      </c>
      <c r="D50" s="5">
        <v>3</v>
      </c>
      <c r="E50" s="6">
        <f t="shared" si="2"/>
        <v>18</v>
      </c>
      <c r="F50" s="7">
        <f t="shared" si="3"/>
        <v>18.3333333333333</v>
      </c>
    </row>
    <row r="51" spans="1:6">
      <c r="A51" s="5">
        <v>64</v>
      </c>
      <c r="B51" s="5">
        <v>1</v>
      </c>
      <c r="C51" s="5">
        <v>5</v>
      </c>
      <c r="D51" s="5">
        <v>2</v>
      </c>
      <c r="E51" s="6">
        <f t="shared" si="2"/>
        <v>28</v>
      </c>
      <c r="F51" s="7">
        <f t="shared" si="3"/>
        <v>28.5</v>
      </c>
    </row>
    <row r="52" spans="1:6">
      <c r="A52" s="5">
        <v>64</v>
      </c>
      <c r="B52" s="5">
        <v>1</v>
      </c>
      <c r="C52" s="5">
        <v>5</v>
      </c>
      <c r="D52" s="5">
        <v>1</v>
      </c>
      <c r="E52" s="6">
        <f t="shared" si="2"/>
        <v>59</v>
      </c>
      <c r="F52" s="7">
        <f t="shared" si="3"/>
        <v>59</v>
      </c>
    </row>
    <row r="53" spans="1:6">
      <c r="A53" s="5">
        <v>64</v>
      </c>
      <c r="B53" s="5">
        <v>1</v>
      </c>
      <c r="C53" s="5">
        <v>4</v>
      </c>
      <c r="D53" s="5">
        <v>3</v>
      </c>
      <c r="E53" s="6">
        <f t="shared" si="2"/>
        <v>18</v>
      </c>
      <c r="F53" s="7">
        <f t="shared" si="3"/>
        <v>18.6666666666667</v>
      </c>
    </row>
    <row r="54" spans="1:6">
      <c r="A54" s="5">
        <v>64</v>
      </c>
      <c r="B54" s="5">
        <v>1</v>
      </c>
      <c r="C54" s="5">
        <v>4</v>
      </c>
      <c r="D54" s="5">
        <v>2</v>
      </c>
      <c r="E54" s="6">
        <f t="shared" si="2"/>
        <v>29</v>
      </c>
      <c r="F54" s="7">
        <f t="shared" si="3"/>
        <v>29</v>
      </c>
    </row>
    <row r="55" spans="1:6">
      <c r="A55" s="5">
        <v>64</v>
      </c>
      <c r="B55" s="5">
        <v>1</v>
      </c>
      <c r="C55" s="5">
        <v>4</v>
      </c>
      <c r="D55" s="5">
        <v>1</v>
      </c>
      <c r="E55" s="6">
        <f t="shared" si="2"/>
        <v>60</v>
      </c>
      <c r="F55" s="7">
        <f t="shared" si="3"/>
        <v>60</v>
      </c>
    </row>
    <row r="56" spans="1:6">
      <c r="A56" s="5">
        <v>64</v>
      </c>
      <c r="B56" s="5">
        <v>1</v>
      </c>
      <c r="C56" s="5">
        <v>3</v>
      </c>
      <c r="D56" s="5">
        <v>3</v>
      </c>
      <c r="E56" s="6">
        <f t="shared" si="2"/>
        <v>19</v>
      </c>
      <c r="F56" s="7">
        <f t="shared" si="3"/>
        <v>19</v>
      </c>
    </row>
    <row r="57" spans="1:6">
      <c r="A57" s="5">
        <v>64</v>
      </c>
      <c r="B57" s="5">
        <v>1</v>
      </c>
      <c r="C57" s="5">
        <v>3</v>
      </c>
      <c r="D57" s="5">
        <v>2</v>
      </c>
      <c r="E57" s="6">
        <f t="shared" si="2"/>
        <v>29</v>
      </c>
      <c r="F57" s="7">
        <f t="shared" si="3"/>
        <v>29.5</v>
      </c>
    </row>
    <row r="58" spans="1:6">
      <c r="A58" s="5">
        <v>64</v>
      </c>
      <c r="B58" s="5">
        <v>1</v>
      </c>
      <c r="C58" s="5">
        <v>3</v>
      </c>
      <c r="D58" s="5">
        <v>1</v>
      </c>
      <c r="E58" s="6">
        <f t="shared" si="2"/>
        <v>61</v>
      </c>
      <c r="F58" s="7">
        <f t="shared" si="3"/>
        <v>61</v>
      </c>
    </row>
    <row r="59" spans="1:6">
      <c r="A59" s="5">
        <v>64</v>
      </c>
      <c r="B59" s="5">
        <v>1</v>
      </c>
      <c r="C59" s="5">
        <v>2</v>
      </c>
      <c r="D59" s="5">
        <v>3</v>
      </c>
      <c r="E59" s="6">
        <f t="shared" si="2"/>
        <v>19</v>
      </c>
      <c r="F59" s="7">
        <f t="shared" si="3"/>
        <v>19.3333333333333</v>
      </c>
    </row>
    <row r="60" spans="1:6">
      <c r="A60" s="5">
        <v>64</v>
      </c>
      <c r="B60" s="5">
        <v>1</v>
      </c>
      <c r="C60" s="5">
        <v>2</v>
      </c>
      <c r="D60" s="5">
        <v>2</v>
      </c>
      <c r="E60" s="6">
        <f t="shared" si="2"/>
        <v>30</v>
      </c>
      <c r="F60" s="7">
        <f t="shared" si="3"/>
        <v>30</v>
      </c>
    </row>
    <row r="61" spans="1:6">
      <c r="A61" s="5">
        <v>64</v>
      </c>
      <c r="B61" s="5">
        <v>1</v>
      </c>
      <c r="C61" s="5">
        <v>2</v>
      </c>
      <c r="D61" s="5">
        <v>1</v>
      </c>
      <c r="E61" s="6">
        <f t="shared" si="2"/>
        <v>62</v>
      </c>
      <c r="F61" s="7">
        <f t="shared" si="3"/>
        <v>62</v>
      </c>
    </row>
    <row r="62" spans="1:6">
      <c r="A62" s="5">
        <v>64</v>
      </c>
      <c r="B62" s="5">
        <v>2</v>
      </c>
      <c r="C62" s="5">
        <v>5</v>
      </c>
      <c r="D62" s="5">
        <v>3</v>
      </c>
      <c r="E62" s="6">
        <f t="shared" si="2"/>
        <v>19</v>
      </c>
      <c r="F62" s="7">
        <f t="shared" si="3"/>
        <v>19</v>
      </c>
    </row>
    <row r="63" spans="1:6">
      <c r="A63" s="5">
        <v>64</v>
      </c>
      <c r="B63" s="5">
        <v>2</v>
      </c>
      <c r="C63" s="5">
        <v>5</v>
      </c>
      <c r="D63" s="5">
        <v>2</v>
      </c>
      <c r="E63" s="6">
        <f t="shared" si="2"/>
        <v>29</v>
      </c>
      <c r="F63" s="7">
        <f t="shared" si="3"/>
        <v>29.5</v>
      </c>
    </row>
    <row r="64" spans="1:6">
      <c r="A64" s="5">
        <v>64</v>
      </c>
      <c r="B64" s="5">
        <v>2</v>
      </c>
      <c r="C64" s="5">
        <v>5</v>
      </c>
      <c r="D64" s="5">
        <v>1</v>
      </c>
      <c r="E64" s="6">
        <f t="shared" si="2"/>
        <v>61</v>
      </c>
      <c r="F64" s="7">
        <f t="shared" si="3"/>
        <v>61</v>
      </c>
    </row>
    <row r="65" spans="1:6">
      <c r="A65" s="5">
        <v>64</v>
      </c>
      <c r="B65" s="5">
        <v>2</v>
      </c>
      <c r="C65" s="5">
        <v>4</v>
      </c>
      <c r="D65" s="5">
        <v>3</v>
      </c>
      <c r="E65" s="6">
        <f t="shared" si="2"/>
        <v>19</v>
      </c>
      <c r="F65" s="7">
        <f t="shared" si="3"/>
        <v>19.3333333333333</v>
      </c>
    </row>
    <row r="66" spans="1:6">
      <c r="A66" s="5">
        <v>64</v>
      </c>
      <c r="B66" s="5">
        <v>2</v>
      </c>
      <c r="C66" s="5">
        <v>4</v>
      </c>
      <c r="D66" s="5">
        <v>2</v>
      </c>
      <c r="E66" s="6">
        <f t="shared" ref="E66:E97" si="4">TRUNC((A66+2*B66-C66)/D66)+1-3</f>
        <v>30</v>
      </c>
      <c r="F66" s="7">
        <f t="shared" ref="F66:F97" si="5">((A66+2*B66-C66)/D66)+1-3</f>
        <v>30</v>
      </c>
    </row>
    <row r="67" spans="1:6">
      <c r="A67" s="5">
        <v>64</v>
      </c>
      <c r="B67" s="5">
        <v>2</v>
      </c>
      <c r="C67" s="5">
        <v>4</v>
      </c>
      <c r="D67" s="5">
        <v>1</v>
      </c>
      <c r="E67" s="6">
        <f t="shared" si="4"/>
        <v>62</v>
      </c>
      <c r="F67" s="7">
        <f t="shared" si="5"/>
        <v>62</v>
      </c>
    </row>
    <row r="68" spans="1:6">
      <c r="A68" s="5">
        <v>64</v>
      </c>
      <c r="B68" s="5">
        <v>2</v>
      </c>
      <c r="C68" s="5">
        <v>3</v>
      </c>
      <c r="D68" s="5">
        <v>3</v>
      </c>
      <c r="E68" s="6">
        <f t="shared" si="4"/>
        <v>19</v>
      </c>
      <c r="F68" s="7">
        <f t="shared" si="5"/>
        <v>19.6666666666667</v>
      </c>
    </row>
    <row r="69" spans="1:6">
      <c r="A69" s="5">
        <v>64</v>
      </c>
      <c r="B69" s="5">
        <v>2</v>
      </c>
      <c r="C69" s="5">
        <v>3</v>
      </c>
      <c r="D69" s="5">
        <v>2</v>
      </c>
      <c r="E69" s="6">
        <f t="shared" si="4"/>
        <v>30</v>
      </c>
      <c r="F69" s="7">
        <f t="shared" si="5"/>
        <v>30.5</v>
      </c>
    </row>
    <row r="70" spans="1:6">
      <c r="A70" s="5">
        <v>64</v>
      </c>
      <c r="B70" s="5">
        <v>2</v>
      </c>
      <c r="C70" s="5">
        <v>3</v>
      </c>
      <c r="D70" s="5">
        <v>1</v>
      </c>
      <c r="E70" s="6">
        <f t="shared" si="4"/>
        <v>63</v>
      </c>
      <c r="F70" s="7">
        <f t="shared" si="5"/>
        <v>63</v>
      </c>
    </row>
    <row r="71" spans="1:6">
      <c r="A71" s="5">
        <v>64</v>
      </c>
      <c r="B71" s="5">
        <v>2</v>
      </c>
      <c r="C71" s="5">
        <v>2</v>
      </c>
      <c r="D71" s="5">
        <v>3</v>
      </c>
      <c r="E71" s="6">
        <f t="shared" si="4"/>
        <v>20</v>
      </c>
      <c r="F71" s="7">
        <f t="shared" si="5"/>
        <v>20</v>
      </c>
    </row>
    <row r="72" spans="1:6">
      <c r="A72" s="5">
        <v>64</v>
      </c>
      <c r="B72" s="5">
        <v>2</v>
      </c>
      <c r="C72" s="5">
        <v>2</v>
      </c>
      <c r="D72" s="5">
        <v>2</v>
      </c>
      <c r="E72" s="6">
        <f t="shared" si="4"/>
        <v>31</v>
      </c>
      <c r="F72" s="7">
        <f t="shared" si="5"/>
        <v>31</v>
      </c>
    </row>
    <row r="73" spans="1:6">
      <c r="A73" s="5">
        <v>64</v>
      </c>
      <c r="B73" s="5">
        <v>2</v>
      </c>
      <c r="C73" s="5">
        <v>2</v>
      </c>
      <c r="D73" s="5">
        <v>1</v>
      </c>
      <c r="E73" s="6">
        <f t="shared" si="4"/>
        <v>64</v>
      </c>
      <c r="F73" s="7">
        <f t="shared" si="5"/>
        <v>64</v>
      </c>
    </row>
    <row r="74" spans="1:6">
      <c r="A74" s="5">
        <v>32</v>
      </c>
      <c r="B74" s="5">
        <v>0</v>
      </c>
      <c r="C74" s="5">
        <v>5</v>
      </c>
      <c r="D74" s="5">
        <v>3</v>
      </c>
      <c r="E74" s="6">
        <f t="shared" si="4"/>
        <v>7</v>
      </c>
      <c r="F74" s="7">
        <f t="shared" si="5"/>
        <v>7</v>
      </c>
    </row>
    <row r="75" spans="1:6">
      <c r="A75" s="5">
        <v>32</v>
      </c>
      <c r="B75" s="5">
        <v>0</v>
      </c>
      <c r="C75" s="5">
        <v>5</v>
      </c>
      <c r="D75" s="5">
        <v>2</v>
      </c>
      <c r="E75" s="6">
        <f t="shared" si="4"/>
        <v>11</v>
      </c>
      <c r="F75" s="7">
        <f t="shared" si="5"/>
        <v>11.5</v>
      </c>
    </row>
    <row r="76" spans="1:6">
      <c r="A76" s="5">
        <v>32</v>
      </c>
      <c r="B76" s="5">
        <v>0</v>
      </c>
      <c r="C76" s="5">
        <v>5</v>
      </c>
      <c r="D76" s="5">
        <v>1</v>
      </c>
      <c r="E76" s="6">
        <f t="shared" si="4"/>
        <v>25</v>
      </c>
      <c r="F76" s="7">
        <f t="shared" si="5"/>
        <v>25</v>
      </c>
    </row>
    <row r="77" spans="1:6">
      <c r="A77" s="5">
        <v>32</v>
      </c>
      <c r="B77" s="5">
        <v>0</v>
      </c>
      <c r="C77" s="5">
        <v>4</v>
      </c>
      <c r="D77" s="5">
        <v>3</v>
      </c>
      <c r="E77" s="6">
        <f t="shared" si="4"/>
        <v>7</v>
      </c>
      <c r="F77" s="7">
        <f t="shared" si="5"/>
        <v>7.33333333333333</v>
      </c>
    </row>
    <row r="78" spans="1:6">
      <c r="A78" s="5">
        <v>32</v>
      </c>
      <c r="B78" s="5">
        <v>0</v>
      </c>
      <c r="C78" s="5">
        <v>4</v>
      </c>
      <c r="D78" s="5">
        <v>2</v>
      </c>
      <c r="E78" s="6">
        <f t="shared" si="4"/>
        <v>12</v>
      </c>
      <c r="F78" s="7">
        <f t="shared" si="5"/>
        <v>12</v>
      </c>
    </row>
    <row r="79" spans="1:6">
      <c r="A79" s="5">
        <v>32</v>
      </c>
      <c r="B79" s="5">
        <v>0</v>
      </c>
      <c r="C79" s="5">
        <v>4</v>
      </c>
      <c r="D79" s="5">
        <v>1</v>
      </c>
      <c r="E79" s="6">
        <f t="shared" si="4"/>
        <v>26</v>
      </c>
      <c r="F79" s="7">
        <f t="shared" si="5"/>
        <v>26</v>
      </c>
    </row>
    <row r="80" spans="1:6">
      <c r="A80" s="5">
        <v>32</v>
      </c>
      <c r="B80" s="5">
        <v>0</v>
      </c>
      <c r="C80" s="5">
        <v>3</v>
      </c>
      <c r="D80" s="5">
        <v>3</v>
      </c>
      <c r="E80" s="6">
        <f t="shared" si="4"/>
        <v>7</v>
      </c>
      <c r="F80" s="7">
        <f t="shared" si="5"/>
        <v>7.66666666666667</v>
      </c>
    </row>
    <row r="81" spans="1:6">
      <c r="A81" s="5">
        <v>32</v>
      </c>
      <c r="B81" s="5">
        <v>0</v>
      </c>
      <c r="C81" s="5">
        <v>3</v>
      </c>
      <c r="D81" s="5">
        <v>2</v>
      </c>
      <c r="E81" s="6">
        <f t="shared" si="4"/>
        <v>12</v>
      </c>
      <c r="F81" s="7">
        <f t="shared" si="5"/>
        <v>12.5</v>
      </c>
    </row>
    <row r="82" spans="1:6">
      <c r="A82" s="5">
        <v>32</v>
      </c>
      <c r="B82" s="5">
        <v>0</v>
      </c>
      <c r="C82" s="5">
        <v>3</v>
      </c>
      <c r="D82" s="5">
        <v>1</v>
      </c>
      <c r="E82" s="6">
        <f t="shared" si="4"/>
        <v>27</v>
      </c>
      <c r="F82" s="7">
        <f t="shared" si="5"/>
        <v>27</v>
      </c>
    </row>
    <row r="83" spans="1:6">
      <c r="A83" s="5">
        <v>32</v>
      </c>
      <c r="B83" s="5">
        <v>0</v>
      </c>
      <c r="C83" s="5">
        <v>2</v>
      </c>
      <c r="D83" s="5">
        <v>3</v>
      </c>
      <c r="E83" s="6">
        <f t="shared" si="4"/>
        <v>8</v>
      </c>
      <c r="F83" s="7">
        <f t="shared" si="5"/>
        <v>8</v>
      </c>
    </row>
    <row r="84" spans="1:6">
      <c r="A84" s="5">
        <v>32</v>
      </c>
      <c r="B84" s="5">
        <v>0</v>
      </c>
      <c r="C84" s="5">
        <v>2</v>
      </c>
      <c r="D84" s="5">
        <v>2</v>
      </c>
      <c r="E84" s="6">
        <f t="shared" si="4"/>
        <v>13</v>
      </c>
      <c r="F84" s="7">
        <f t="shared" si="5"/>
        <v>13</v>
      </c>
    </row>
    <row r="85" spans="1:6">
      <c r="A85" s="5">
        <v>32</v>
      </c>
      <c r="B85" s="5">
        <v>0</v>
      </c>
      <c r="C85" s="5">
        <v>2</v>
      </c>
      <c r="D85" s="5">
        <v>1</v>
      </c>
      <c r="E85" s="6">
        <f t="shared" si="4"/>
        <v>28</v>
      </c>
      <c r="F85" s="7">
        <f t="shared" si="5"/>
        <v>28</v>
      </c>
    </row>
    <row r="86" spans="1:6">
      <c r="A86" s="5">
        <v>32</v>
      </c>
      <c r="B86" s="5">
        <v>1</v>
      </c>
      <c r="C86" s="5">
        <v>5</v>
      </c>
      <c r="D86" s="5">
        <v>3</v>
      </c>
      <c r="E86" s="6">
        <f t="shared" si="4"/>
        <v>7</v>
      </c>
      <c r="F86" s="7">
        <f t="shared" si="5"/>
        <v>7.66666666666667</v>
      </c>
    </row>
    <row r="87" spans="1:6">
      <c r="A87" s="5">
        <v>32</v>
      </c>
      <c r="B87" s="5">
        <v>1</v>
      </c>
      <c r="C87" s="5">
        <v>5</v>
      </c>
      <c r="D87" s="5">
        <v>2</v>
      </c>
      <c r="E87" s="6">
        <f t="shared" si="4"/>
        <v>12</v>
      </c>
      <c r="F87" s="7">
        <f t="shared" si="5"/>
        <v>12.5</v>
      </c>
    </row>
    <row r="88" spans="1:6">
      <c r="A88" s="5">
        <v>32</v>
      </c>
      <c r="B88" s="5">
        <v>1</v>
      </c>
      <c r="C88" s="5">
        <v>5</v>
      </c>
      <c r="D88" s="5">
        <v>1</v>
      </c>
      <c r="E88" s="6">
        <f t="shared" si="4"/>
        <v>27</v>
      </c>
      <c r="F88" s="7">
        <f t="shared" si="5"/>
        <v>27</v>
      </c>
    </row>
    <row r="89" spans="1:6">
      <c r="A89" s="5">
        <v>32</v>
      </c>
      <c r="B89" s="5">
        <v>1</v>
      </c>
      <c r="C89" s="5">
        <v>4</v>
      </c>
      <c r="D89" s="5">
        <v>3</v>
      </c>
      <c r="E89" s="6">
        <f t="shared" si="4"/>
        <v>8</v>
      </c>
      <c r="F89" s="7">
        <f t="shared" si="5"/>
        <v>8</v>
      </c>
    </row>
    <row r="90" spans="1:6">
      <c r="A90" s="5">
        <v>32</v>
      </c>
      <c r="B90" s="5">
        <v>1</v>
      </c>
      <c r="C90" s="5">
        <v>4</v>
      </c>
      <c r="D90" s="5">
        <v>2</v>
      </c>
      <c r="E90" s="6">
        <f t="shared" si="4"/>
        <v>13</v>
      </c>
      <c r="F90" s="7">
        <f t="shared" si="5"/>
        <v>13</v>
      </c>
    </row>
    <row r="91" spans="1:6">
      <c r="A91" s="5">
        <v>32</v>
      </c>
      <c r="B91" s="5">
        <v>1</v>
      </c>
      <c r="C91" s="5">
        <v>4</v>
      </c>
      <c r="D91" s="5">
        <v>1</v>
      </c>
      <c r="E91" s="6">
        <f t="shared" si="4"/>
        <v>28</v>
      </c>
      <c r="F91" s="7">
        <f t="shared" si="5"/>
        <v>28</v>
      </c>
    </row>
    <row r="92" spans="1:6">
      <c r="A92" s="5">
        <v>32</v>
      </c>
      <c r="B92" s="5">
        <v>1</v>
      </c>
      <c r="C92" s="5">
        <v>3</v>
      </c>
      <c r="D92" s="5">
        <v>3</v>
      </c>
      <c r="E92" s="6">
        <f t="shared" si="4"/>
        <v>8</v>
      </c>
      <c r="F92" s="7">
        <f t="shared" si="5"/>
        <v>8.33333333333333</v>
      </c>
    </row>
    <row r="93" spans="1:6">
      <c r="A93" s="5">
        <v>32</v>
      </c>
      <c r="B93" s="5">
        <v>1</v>
      </c>
      <c r="C93" s="5">
        <v>3</v>
      </c>
      <c r="D93" s="5">
        <v>2</v>
      </c>
      <c r="E93" s="6">
        <f t="shared" si="4"/>
        <v>13</v>
      </c>
      <c r="F93" s="7">
        <f t="shared" si="5"/>
        <v>13.5</v>
      </c>
    </row>
    <row r="94" spans="1:6">
      <c r="A94" s="5">
        <v>32</v>
      </c>
      <c r="B94" s="5">
        <v>1</v>
      </c>
      <c r="C94" s="5">
        <v>3</v>
      </c>
      <c r="D94" s="5">
        <v>1</v>
      </c>
      <c r="E94" s="6">
        <f t="shared" si="4"/>
        <v>29</v>
      </c>
      <c r="F94" s="7">
        <f t="shared" si="5"/>
        <v>29</v>
      </c>
    </row>
    <row r="95" spans="1:6">
      <c r="A95" s="5">
        <v>32</v>
      </c>
      <c r="B95" s="5">
        <v>1</v>
      </c>
      <c r="C95" s="5">
        <v>2</v>
      </c>
      <c r="D95" s="5">
        <v>3</v>
      </c>
      <c r="E95" s="6">
        <f t="shared" si="4"/>
        <v>8</v>
      </c>
      <c r="F95" s="7">
        <f t="shared" si="5"/>
        <v>8.66666666666667</v>
      </c>
    </row>
    <row r="96" spans="1:6">
      <c r="A96" s="5">
        <v>32</v>
      </c>
      <c r="B96" s="5">
        <v>1</v>
      </c>
      <c r="C96" s="5">
        <v>2</v>
      </c>
      <c r="D96" s="5">
        <v>2</v>
      </c>
      <c r="E96" s="6">
        <f t="shared" si="4"/>
        <v>14</v>
      </c>
      <c r="F96" s="7">
        <f t="shared" si="5"/>
        <v>14</v>
      </c>
    </row>
    <row r="97" spans="1:6">
      <c r="A97" s="5">
        <v>32</v>
      </c>
      <c r="B97" s="5">
        <v>1</v>
      </c>
      <c r="C97" s="5">
        <v>2</v>
      </c>
      <c r="D97" s="5">
        <v>1</v>
      </c>
      <c r="E97" s="6">
        <f t="shared" si="4"/>
        <v>30</v>
      </c>
      <c r="F97" s="7">
        <f t="shared" si="5"/>
        <v>30</v>
      </c>
    </row>
    <row r="98" spans="1:6">
      <c r="A98" s="5">
        <v>32</v>
      </c>
      <c r="B98" s="5">
        <v>2</v>
      </c>
      <c r="C98" s="5">
        <v>5</v>
      </c>
      <c r="D98" s="5">
        <v>3</v>
      </c>
      <c r="E98" s="6">
        <f t="shared" ref="E98:E129" si="6">TRUNC((A98+2*B98-C98)/D98)+1-3</f>
        <v>8</v>
      </c>
      <c r="F98" s="7">
        <f t="shared" ref="F98:F129" si="7">((A98+2*B98-C98)/D98)+1-3</f>
        <v>8.33333333333333</v>
      </c>
    </row>
    <row r="99" spans="1:6">
      <c r="A99" s="5">
        <v>32</v>
      </c>
      <c r="B99" s="5">
        <v>2</v>
      </c>
      <c r="C99" s="5">
        <v>5</v>
      </c>
      <c r="D99" s="5">
        <v>2</v>
      </c>
      <c r="E99" s="6">
        <f t="shared" si="6"/>
        <v>13</v>
      </c>
      <c r="F99" s="7">
        <f t="shared" si="7"/>
        <v>13.5</v>
      </c>
    </row>
    <row r="100" spans="1:6">
      <c r="A100" s="5">
        <v>32</v>
      </c>
      <c r="B100" s="5">
        <v>2</v>
      </c>
      <c r="C100" s="5">
        <v>5</v>
      </c>
      <c r="D100" s="5">
        <v>1</v>
      </c>
      <c r="E100" s="6">
        <f t="shared" si="6"/>
        <v>29</v>
      </c>
      <c r="F100" s="7">
        <f t="shared" si="7"/>
        <v>29</v>
      </c>
    </row>
    <row r="101" spans="1:6">
      <c r="A101" s="5">
        <v>32</v>
      </c>
      <c r="B101" s="5">
        <v>2</v>
      </c>
      <c r="C101" s="5">
        <v>4</v>
      </c>
      <c r="D101" s="5">
        <v>3</v>
      </c>
      <c r="E101" s="6">
        <f t="shared" si="6"/>
        <v>8</v>
      </c>
      <c r="F101" s="7">
        <f t="shared" si="7"/>
        <v>8.66666666666667</v>
      </c>
    </row>
    <row r="102" spans="1:6">
      <c r="A102" s="5">
        <v>32</v>
      </c>
      <c r="B102" s="5">
        <v>2</v>
      </c>
      <c r="C102" s="5">
        <v>4</v>
      </c>
      <c r="D102" s="5">
        <v>2</v>
      </c>
      <c r="E102" s="6">
        <f t="shared" si="6"/>
        <v>14</v>
      </c>
      <c r="F102" s="7">
        <f t="shared" si="7"/>
        <v>14</v>
      </c>
    </row>
    <row r="103" spans="1:6">
      <c r="A103" s="5">
        <v>32</v>
      </c>
      <c r="B103" s="5">
        <v>2</v>
      </c>
      <c r="C103" s="5">
        <v>4</v>
      </c>
      <c r="D103" s="5">
        <v>1</v>
      </c>
      <c r="E103" s="6">
        <f t="shared" si="6"/>
        <v>30</v>
      </c>
      <c r="F103" s="7">
        <f t="shared" si="7"/>
        <v>30</v>
      </c>
    </row>
    <row r="104" spans="1:6">
      <c r="A104" s="5">
        <v>32</v>
      </c>
      <c r="B104" s="5">
        <v>2</v>
      </c>
      <c r="C104" s="5">
        <v>3</v>
      </c>
      <c r="D104" s="5">
        <v>3</v>
      </c>
      <c r="E104" s="6">
        <f t="shared" si="6"/>
        <v>9</v>
      </c>
      <c r="F104" s="7">
        <f t="shared" si="7"/>
        <v>9</v>
      </c>
    </row>
    <row r="105" spans="1:6">
      <c r="A105" s="5">
        <v>32</v>
      </c>
      <c r="B105" s="5">
        <v>2</v>
      </c>
      <c r="C105" s="5">
        <v>3</v>
      </c>
      <c r="D105" s="5">
        <v>2</v>
      </c>
      <c r="E105" s="6">
        <f t="shared" si="6"/>
        <v>14</v>
      </c>
      <c r="F105" s="7">
        <f t="shared" si="7"/>
        <v>14.5</v>
      </c>
    </row>
    <row r="106" spans="1:6">
      <c r="A106" s="5">
        <v>32</v>
      </c>
      <c r="B106" s="5">
        <v>2</v>
      </c>
      <c r="C106" s="5">
        <v>3</v>
      </c>
      <c r="D106" s="5">
        <v>1</v>
      </c>
      <c r="E106" s="6">
        <f t="shared" si="6"/>
        <v>31</v>
      </c>
      <c r="F106" s="7">
        <f t="shared" si="7"/>
        <v>31</v>
      </c>
    </row>
    <row r="107" spans="1:6">
      <c r="A107" s="5">
        <v>32</v>
      </c>
      <c r="B107" s="5">
        <v>2</v>
      </c>
      <c r="C107" s="5">
        <v>2</v>
      </c>
      <c r="D107" s="5">
        <v>3</v>
      </c>
      <c r="E107" s="6">
        <f t="shared" si="6"/>
        <v>9</v>
      </c>
      <c r="F107" s="7">
        <f t="shared" si="7"/>
        <v>9.33333333333333</v>
      </c>
    </row>
    <row r="108" spans="1:6">
      <c r="A108" s="5">
        <v>32</v>
      </c>
      <c r="B108" s="5">
        <v>2</v>
      </c>
      <c r="C108" s="5">
        <v>2</v>
      </c>
      <c r="D108" s="5">
        <v>2</v>
      </c>
      <c r="E108" s="6">
        <f t="shared" si="6"/>
        <v>15</v>
      </c>
      <c r="F108" s="7">
        <f t="shared" si="7"/>
        <v>15</v>
      </c>
    </row>
    <row r="109" spans="1:6">
      <c r="A109" s="5">
        <v>32</v>
      </c>
      <c r="B109" s="5">
        <v>2</v>
      </c>
      <c r="C109" s="5">
        <v>2</v>
      </c>
      <c r="D109" s="5">
        <v>1</v>
      </c>
      <c r="E109" s="6">
        <f t="shared" si="6"/>
        <v>32</v>
      </c>
      <c r="F109" s="7">
        <f t="shared" si="7"/>
        <v>32</v>
      </c>
    </row>
    <row r="110" spans="1:6">
      <c r="A110" s="5">
        <v>16</v>
      </c>
      <c r="B110" s="5">
        <v>0</v>
      </c>
      <c r="C110" s="5">
        <v>5</v>
      </c>
      <c r="D110" s="5">
        <v>3</v>
      </c>
      <c r="E110" s="6">
        <f t="shared" si="6"/>
        <v>1</v>
      </c>
      <c r="F110" s="7">
        <f t="shared" si="7"/>
        <v>1.66666666666667</v>
      </c>
    </row>
    <row r="111" spans="1:6">
      <c r="A111" s="5">
        <v>16</v>
      </c>
      <c r="B111" s="5">
        <v>0</v>
      </c>
      <c r="C111" s="5">
        <v>5</v>
      </c>
      <c r="D111" s="5">
        <v>2</v>
      </c>
      <c r="E111" s="6">
        <f t="shared" si="6"/>
        <v>3</v>
      </c>
      <c r="F111" s="7">
        <f t="shared" si="7"/>
        <v>3.5</v>
      </c>
    </row>
    <row r="112" spans="1:6">
      <c r="A112" s="5">
        <v>16</v>
      </c>
      <c r="B112" s="5">
        <v>0</v>
      </c>
      <c r="C112" s="5">
        <v>5</v>
      </c>
      <c r="D112" s="5">
        <v>1</v>
      </c>
      <c r="E112" s="6">
        <f t="shared" si="6"/>
        <v>9</v>
      </c>
      <c r="F112" s="7">
        <f t="shared" si="7"/>
        <v>9</v>
      </c>
    </row>
    <row r="113" spans="1:6">
      <c r="A113" s="5">
        <v>16</v>
      </c>
      <c r="B113" s="5">
        <v>0</v>
      </c>
      <c r="C113" s="5">
        <v>4</v>
      </c>
      <c r="D113" s="5">
        <v>3</v>
      </c>
      <c r="E113" s="6">
        <f t="shared" si="6"/>
        <v>2</v>
      </c>
      <c r="F113" s="7">
        <f t="shared" si="7"/>
        <v>2</v>
      </c>
    </row>
    <row r="114" spans="1:6">
      <c r="A114" s="5">
        <v>16</v>
      </c>
      <c r="B114" s="5">
        <v>0</v>
      </c>
      <c r="C114" s="5">
        <v>4</v>
      </c>
      <c r="D114" s="5">
        <v>2</v>
      </c>
      <c r="E114" s="6">
        <f t="shared" si="6"/>
        <v>4</v>
      </c>
      <c r="F114" s="7">
        <f t="shared" si="7"/>
        <v>4</v>
      </c>
    </row>
    <row r="115" spans="1:6">
      <c r="A115" s="5">
        <v>16</v>
      </c>
      <c r="B115" s="5">
        <v>0</v>
      </c>
      <c r="C115" s="5">
        <v>4</v>
      </c>
      <c r="D115" s="5">
        <v>1</v>
      </c>
      <c r="E115" s="6">
        <f t="shared" si="6"/>
        <v>10</v>
      </c>
      <c r="F115" s="7">
        <f t="shared" si="7"/>
        <v>10</v>
      </c>
    </row>
    <row r="116" spans="1:6">
      <c r="A116" s="5">
        <v>16</v>
      </c>
      <c r="B116" s="5">
        <v>0</v>
      </c>
      <c r="C116" s="5">
        <v>3</v>
      </c>
      <c r="D116" s="5">
        <v>3</v>
      </c>
      <c r="E116" s="6">
        <f t="shared" si="6"/>
        <v>2</v>
      </c>
      <c r="F116" s="7">
        <f t="shared" si="7"/>
        <v>2.33333333333333</v>
      </c>
    </row>
    <row r="117" spans="1:6">
      <c r="A117" s="5">
        <v>16</v>
      </c>
      <c r="B117" s="5">
        <v>0</v>
      </c>
      <c r="C117" s="5">
        <v>3</v>
      </c>
      <c r="D117" s="5">
        <v>2</v>
      </c>
      <c r="E117" s="6">
        <f t="shared" si="6"/>
        <v>4</v>
      </c>
      <c r="F117" s="7">
        <f t="shared" si="7"/>
        <v>4.5</v>
      </c>
    </row>
    <row r="118" spans="1:6">
      <c r="A118" s="5">
        <v>16</v>
      </c>
      <c r="B118" s="5">
        <v>0</v>
      </c>
      <c r="C118" s="5">
        <v>3</v>
      </c>
      <c r="D118" s="5">
        <v>1</v>
      </c>
      <c r="E118" s="6">
        <f t="shared" si="6"/>
        <v>11</v>
      </c>
      <c r="F118" s="7">
        <f t="shared" si="7"/>
        <v>11</v>
      </c>
    </row>
    <row r="119" spans="1:6">
      <c r="A119" s="5">
        <v>16</v>
      </c>
      <c r="B119" s="5">
        <v>0</v>
      </c>
      <c r="C119" s="5">
        <v>2</v>
      </c>
      <c r="D119" s="5">
        <v>3</v>
      </c>
      <c r="E119" s="6">
        <f t="shared" si="6"/>
        <v>2</v>
      </c>
      <c r="F119" s="7">
        <f t="shared" si="7"/>
        <v>2.66666666666667</v>
      </c>
    </row>
    <row r="120" spans="1:6">
      <c r="A120" s="5">
        <v>16</v>
      </c>
      <c r="B120" s="5">
        <v>0</v>
      </c>
      <c r="C120" s="5">
        <v>2</v>
      </c>
      <c r="D120" s="5">
        <v>2</v>
      </c>
      <c r="E120" s="6">
        <f t="shared" si="6"/>
        <v>5</v>
      </c>
      <c r="F120" s="7">
        <f t="shared" si="7"/>
        <v>5</v>
      </c>
    </row>
    <row r="121" spans="1:6">
      <c r="A121" s="5">
        <v>16</v>
      </c>
      <c r="B121" s="5">
        <v>0</v>
      </c>
      <c r="C121" s="5">
        <v>2</v>
      </c>
      <c r="D121" s="5">
        <v>1</v>
      </c>
      <c r="E121" s="6">
        <f t="shared" si="6"/>
        <v>12</v>
      </c>
      <c r="F121" s="7">
        <f t="shared" si="7"/>
        <v>12</v>
      </c>
    </row>
    <row r="122" spans="1:6">
      <c r="A122" s="5">
        <v>16</v>
      </c>
      <c r="B122" s="5">
        <v>1</v>
      </c>
      <c r="C122" s="5">
        <v>5</v>
      </c>
      <c r="D122" s="5">
        <v>3</v>
      </c>
      <c r="E122" s="6">
        <f t="shared" si="6"/>
        <v>2</v>
      </c>
      <c r="F122" s="7">
        <f t="shared" si="7"/>
        <v>2.33333333333333</v>
      </c>
    </row>
    <row r="123" spans="1:6">
      <c r="A123" s="5">
        <v>16</v>
      </c>
      <c r="B123" s="5">
        <v>1</v>
      </c>
      <c r="C123" s="5">
        <v>5</v>
      </c>
      <c r="D123" s="5">
        <v>2</v>
      </c>
      <c r="E123" s="6">
        <f t="shared" si="6"/>
        <v>4</v>
      </c>
      <c r="F123" s="7">
        <f t="shared" si="7"/>
        <v>4.5</v>
      </c>
    </row>
    <row r="124" spans="1:6">
      <c r="A124" s="5">
        <v>16</v>
      </c>
      <c r="B124" s="5">
        <v>1</v>
      </c>
      <c r="C124" s="5">
        <v>5</v>
      </c>
      <c r="D124" s="5">
        <v>1</v>
      </c>
      <c r="E124" s="6">
        <f t="shared" si="6"/>
        <v>11</v>
      </c>
      <c r="F124" s="7">
        <f t="shared" si="7"/>
        <v>11</v>
      </c>
    </row>
    <row r="125" spans="1:6">
      <c r="A125" s="5">
        <v>16</v>
      </c>
      <c r="B125" s="5">
        <v>1</v>
      </c>
      <c r="C125" s="5">
        <v>4</v>
      </c>
      <c r="D125" s="5">
        <v>3</v>
      </c>
      <c r="E125" s="6">
        <f t="shared" si="6"/>
        <v>2</v>
      </c>
      <c r="F125" s="7">
        <f t="shared" si="7"/>
        <v>2.66666666666667</v>
      </c>
    </row>
    <row r="126" spans="1:6">
      <c r="A126" s="5">
        <v>16</v>
      </c>
      <c r="B126" s="5">
        <v>1</v>
      </c>
      <c r="C126" s="5">
        <v>4</v>
      </c>
      <c r="D126" s="5">
        <v>2</v>
      </c>
      <c r="E126" s="6">
        <f t="shared" si="6"/>
        <v>5</v>
      </c>
      <c r="F126" s="7">
        <f t="shared" si="7"/>
        <v>5</v>
      </c>
    </row>
    <row r="127" spans="1:6">
      <c r="A127" s="5">
        <v>16</v>
      </c>
      <c r="B127" s="5">
        <v>1</v>
      </c>
      <c r="C127" s="5">
        <v>4</v>
      </c>
      <c r="D127" s="5">
        <v>1</v>
      </c>
      <c r="E127" s="6">
        <f t="shared" si="6"/>
        <v>12</v>
      </c>
      <c r="F127" s="7">
        <f t="shared" si="7"/>
        <v>12</v>
      </c>
    </row>
    <row r="128" spans="1:6">
      <c r="A128" s="5">
        <v>16</v>
      </c>
      <c r="B128" s="5">
        <v>1</v>
      </c>
      <c r="C128" s="5">
        <v>3</v>
      </c>
      <c r="D128" s="5">
        <v>3</v>
      </c>
      <c r="E128" s="6">
        <f t="shared" si="6"/>
        <v>3</v>
      </c>
      <c r="F128" s="7">
        <f t="shared" si="7"/>
        <v>3</v>
      </c>
    </row>
    <row r="129" spans="1:6">
      <c r="A129" s="5">
        <v>16</v>
      </c>
      <c r="B129" s="5">
        <v>1</v>
      </c>
      <c r="C129" s="5">
        <v>3</v>
      </c>
      <c r="D129" s="5">
        <v>2</v>
      </c>
      <c r="E129" s="6">
        <f t="shared" si="6"/>
        <v>5</v>
      </c>
      <c r="F129" s="7">
        <f t="shared" si="7"/>
        <v>5.5</v>
      </c>
    </row>
    <row r="130" spans="1:6">
      <c r="A130" s="5">
        <v>16</v>
      </c>
      <c r="B130" s="5">
        <v>1</v>
      </c>
      <c r="C130" s="5">
        <v>3</v>
      </c>
      <c r="D130" s="5">
        <v>1</v>
      </c>
      <c r="E130" s="6">
        <f t="shared" ref="E130:E161" si="8">TRUNC((A130+2*B130-C130)/D130)+1-3</f>
        <v>13</v>
      </c>
      <c r="F130" s="7">
        <f t="shared" ref="F130:F161" si="9">((A130+2*B130-C130)/D130)+1-3</f>
        <v>13</v>
      </c>
    </row>
    <row r="131" spans="1:6">
      <c r="A131" s="5">
        <v>16</v>
      </c>
      <c r="B131" s="5">
        <v>1</v>
      </c>
      <c r="C131" s="5">
        <v>2</v>
      </c>
      <c r="D131" s="5">
        <v>3</v>
      </c>
      <c r="E131" s="6">
        <f t="shared" si="8"/>
        <v>3</v>
      </c>
      <c r="F131" s="7">
        <f t="shared" si="9"/>
        <v>3.33333333333333</v>
      </c>
    </row>
    <row r="132" spans="1:6">
      <c r="A132" s="5">
        <v>16</v>
      </c>
      <c r="B132" s="5">
        <v>1</v>
      </c>
      <c r="C132" s="5">
        <v>2</v>
      </c>
      <c r="D132" s="5">
        <v>2</v>
      </c>
      <c r="E132" s="6">
        <f t="shared" si="8"/>
        <v>6</v>
      </c>
      <c r="F132" s="7">
        <f t="shared" si="9"/>
        <v>6</v>
      </c>
    </row>
    <row r="133" spans="1:6">
      <c r="A133" s="5">
        <v>16</v>
      </c>
      <c r="B133" s="5">
        <v>1</v>
      </c>
      <c r="C133" s="5">
        <v>2</v>
      </c>
      <c r="D133" s="5">
        <v>1</v>
      </c>
      <c r="E133" s="6">
        <f t="shared" si="8"/>
        <v>14</v>
      </c>
      <c r="F133" s="7">
        <f t="shared" si="9"/>
        <v>14</v>
      </c>
    </row>
    <row r="134" spans="1:6">
      <c r="A134" s="5">
        <v>16</v>
      </c>
      <c r="B134" s="5">
        <v>2</v>
      </c>
      <c r="C134" s="5">
        <v>5</v>
      </c>
      <c r="D134" s="5">
        <v>3</v>
      </c>
      <c r="E134" s="6">
        <f t="shared" si="8"/>
        <v>3</v>
      </c>
      <c r="F134" s="7">
        <f t="shared" si="9"/>
        <v>3</v>
      </c>
    </row>
    <row r="135" spans="1:6">
      <c r="A135" s="5">
        <v>16</v>
      </c>
      <c r="B135" s="5">
        <v>2</v>
      </c>
      <c r="C135" s="5">
        <v>5</v>
      </c>
      <c r="D135" s="5">
        <v>2</v>
      </c>
      <c r="E135" s="6">
        <f t="shared" si="8"/>
        <v>5</v>
      </c>
      <c r="F135" s="7">
        <f t="shared" si="9"/>
        <v>5.5</v>
      </c>
    </row>
    <row r="136" spans="1:6">
      <c r="A136" s="5">
        <v>16</v>
      </c>
      <c r="B136" s="5">
        <v>2</v>
      </c>
      <c r="C136" s="5">
        <v>5</v>
      </c>
      <c r="D136" s="5">
        <v>1</v>
      </c>
      <c r="E136" s="6">
        <f t="shared" si="8"/>
        <v>13</v>
      </c>
      <c r="F136" s="7">
        <f t="shared" si="9"/>
        <v>13</v>
      </c>
    </row>
    <row r="137" spans="1:6">
      <c r="A137" s="5">
        <v>16</v>
      </c>
      <c r="B137" s="5">
        <v>2</v>
      </c>
      <c r="C137" s="5">
        <v>4</v>
      </c>
      <c r="D137" s="5">
        <v>3</v>
      </c>
      <c r="E137" s="6">
        <f t="shared" si="8"/>
        <v>3</v>
      </c>
      <c r="F137" s="7">
        <f t="shared" si="9"/>
        <v>3.33333333333333</v>
      </c>
    </row>
    <row r="138" spans="1:6">
      <c r="A138" s="5">
        <v>16</v>
      </c>
      <c r="B138" s="5">
        <v>2</v>
      </c>
      <c r="C138" s="5">
        <v>4</v>
      </c>
      <c r="D138" s="5">
        <v>2</v>
      </c>
      <c r="E138" s="6">
        <f t="shared" si="8"/>
        <v>6</v>
      </c>
      <c r="F138" s="7">
        <f t="shared" si="9"/>
        <v>6</v>
      </c>
    </row>
    <row r="139" spans="1:6">
      <c r="A139" s="5">
        <v>16</v>
      </c>
      <c r="B139" s="5">
        <v>2</v>
      </c>
      <c r="C139" s="5">
        <v>4</v>
      </c>
      <c r="D139" s="5">
        <v>1</v>
      </c>
      <c r="E139" s="6">
        <f t="shared" si="8"/>
        <v>14</v>
      </c>
      <c r="F139" s="7">
        <f t="shared" si="9"/>
        <v>14</v>
      </c>
    </row>
    <row r="140" spans="1:6">
      <c r="A140" s="5">
        <v>16</v>
      </c>
      <c r="B140" s="5">
        <v>2</v>
      </c>
      <c r="C140" s="5">
        <v>3</v>
      </c>
      <c r="D140" s="5">
        <v>3</v>
      </c>
      <c r="E140" s="6">
        <f t="shared" si="8"/>
        <v>3</v>
      </c>
      <c r="F140" s="7">
        <f t="shared" si="9"/>
        <v>3.66666666666667</v>
      </c>
    </row>
    <row r="141" spans="1:6">
      <c r="A141" s="5">
        <v>16</v>
      </c>
      <c r="B141" s="5">
        <v>2</v>
      </c>
      <c r="C141" s="5">
        <v>3</v>
      </c>
      <c r="D141" s="5">
        <v>2</v>
      </c>
      <c r="E141" s="6">
        <f t="shared" si="8"/>
        <v>6</v>
      </c>
      <c r="F141" s="7">
        <f t="shared" si="9"/>
        <v>6.5</v>
      </c>
    </row>
    <row r="142" spans="1:6">
      <c r="A142" s="5">
        <v>16</v>
      </c>
      <c r="B142" s="5">
        <v>2</v>
      </c>
      <c r="C142" s="5">
        <v>3</v>
      </c>
      <c r="D142" s="5">
        <v>1</v>
      </c>
      <c r="E142" s="6">
        <f t="shared" si="8"/>
        <v>15</v>
      </c>
      <c r="F142" s="7">
        <f t="shared" si="9"/>
        <v>15</v>
      </c>
    </row>
    <row r="143" spans="1:6">
      <c r="A143" s="5">
        <v>16</v>
      </c>
      <c r="B143" s="5">
        <v>2</v>
      </c>
      <c r="C143" s="5">
        <v>2</v>
      </c>
      <c r="D143" s="5">
        <v>3</v>
      </c>
      <c r="E143" s="6">
        <f t="shared" si="8"/>
        <v>4</v>
      </c>
      <c r="F143" s="7">
        <f t="shared" si="9"/>
        <v>4</v>
      </c>
    </row>
    <row r="144" spans="1:6">
      <c r="A144" s="5">
        <v>16</v>
      </c>
      <c r="B144" s="5">
        <v>2</v>
      </c>
      <c r="C144" s="5">
        <v>2</v>
      </c>
      <c r="D144" s="5">
        <v>2</v>
      </c>
      <c r="E144" s="6">
        <f t="shared" si="8"/>
        <v>7</v>
      </c>
      <c r="F144" s="7">
        <f t="shared" si="9"/>
        <v>7</v>
      </c>
    </row>
    <row r="145" spans="1:6">
      <c r="A145" s="5">
        <v>16</v>
      </c>
      <c r="B145" s="5">
        <v>2</v>
      </c>
      <c r="C145" s="5">
        <v>2</v>
      </c>
      <c r="D145" s="5">
        <v>1</v>
      </c>
      <c r="E145" s="6">
        <f t="shared" si="8"/>
        <v>16</v>
      </c>
      <c r="F145" s="7">
        <f t="shared" si="9"/>
        <v>16</v>
      </c>
    </row>
    <row r="146" spans="1:6">
      <c r="A146" s="5">
        <v>8</v>
      </c>
      <c r="B146" s="5">
        <v>0</v>
      </c>
      <c r="C146" s="5">
        <v>5</v>
      </c>
      <c r="D146" s="5">
        <v>3</v>
      </c>
      <c r="E146" s="6">
        <f t="shared" si="8"/>
        <v>-1</v>
      </c>
      <c r="F146" s="7">
        <f t="shared" si="9"/>
        <v>-1</v>
      </c>
    </row>
    <row r="147" spans="1:6">
      <c r="A147" s="5">
        <v>8</v>
      </c>
      <c r="B147" s="5">
        <v>0</v>
      </c>
      <c r="C147" s="5">
        <v>5</v>
      </c>
      <c r="D147" s="5">
        <v>2</v>
      </c>
      <c r="E147" s="6">
        <f t="shared" si="8"/>
        <v>-1</v>
      </c>
      <c r="F147" s="7">
        <f t="shared" si="9"/>
        <v>-0.5</v>
      </c>
    </row>
    <row r="148" spans="1:6">
      <c r="A148" s="5">
        <v>8</v>
      </c>
      <c r="B148" s="5">
        <v>0</v>
      </c>
      <c r="C148" s="5">
        <v>5</v>
      </c>
      <c r="D148" s="5">
        <v>1</v>
      </c>
      <c r="E148" s="6">
        <f t="shared" si="8"/>
        <v>1</v>
      </c>
      <c r="F148" s="7">
        <f t="shared" si="9"/>
        <v>1</v>
      </c>
    </row>
    <row r="149" spans="1:6">
      <c r="A149" s="5">
        <v>8</v>
      </c>
      <c r="B149" s="5">
        <v>0</v>
      </c>
      <c r="C149" s="5">
        <v>4</v>
      </c>
      <c r="D149" s="5">
        <v>3</v>
      </c>
      <c r="E149" s="6">
        <f t="shared" si="8"/>
        <v>-1</v>
      </c>
      <c r="F149" s="7">
        <f t="shared" si="9"/>
        <v>-0.666666666666667</v>
      </c>
    </row>
    <row r="150" spans="1:6">
      <c r="A150" s="5">
        <v>8</v>
      </c>
      <c r="B150" s="5">
        <v>0</v>
      </c>
      <c r="C150" s="5">
        <v>4</v>
      </c>
      <c r="D150" s="5">
        <v>2</v>
      </c>
      <c r="E150" s="6">
        <f t="shared" si="8"/>
        <v>0</v>
      </c>
      <c r="F150" s="7">
        <f t="shared" si="9"/>
        <v>0</v>
      </c>
    </row>
    <row r="151" spans="1:6">
      <c r="A151" s="5">
        <v>8</v>
      </c>
      <c r="B151" s="5">
        <v>0</v>
      </c>
      <c r="C151" s="5">
        <v>4</v>
      </c>
      <c r="D151" s="5">
        <v>1</v>
      </c>
      <c r="E151" s="6">
        <f t="shared" si="8"/>
        <v>2</v>
      </c>
      <c r="F151" s="7">
        <f t="shared" si="9"/>
        <v>2</v>
      </c>
    </row>
    <row r="152" spans="1:6">
      <c r="A152" s="5">
        <v>8</v>
      </c>
      <c r="B152" s="5">
        <v>0</v>
      </c>
      <c r="C152" s="5">
        <v>3</v>
      </c>
      <c r="D152" s="5">
        <v>3</v>
      </c>
      <c r="E152" s="6">
        <f t="shared" si="8"/>
        <v>-1</v>
      </c>
      <c r="F152" s="7">
        <f t="shared" si="9"/>
        <v>-0.333333333333333</v>
      </c>
    </row>
    <row r="153" spans="1:6">
      <c r="A153" s="5">
        <v>8</v>
      </c>
      <c r="B153" s="5">
        <v>0</v>
      </c>
      <c r="C153" s="5">
        <v>3</v>
      </c>
      <c r="D153" s="5">
        <v>2</v>
      </c>
      <c r="E153" s="6">
        <f t="shared" si="8"/>
        <v>0</v>
      </c>
      <c r="F153" s="7">
        <f t="shared" si="9"/>
        <v>0.5</v>
      </c>
    </row>
    <row r="154" spans="1:6">
      <c r="A154" s="5">
        <v>8</v>
      </c>
      <c r="B154" s="5">
        <v>0</v>
      </c>
      <c r="C154" s="5">
        <v>3</v>
      </c>
      <c r="D154" s="5">
        <v>1</v>
      </c>
      <c r="E154" s="6">
        <f t="shared" si="8"/>
        <v>3</v>
      </c>
      <c r="F154" s="7">
        <f t="shared" si="9"/>
        <v>3</v>
      </c>
    </row>
    <row r="155" spans="1:6">
      <c r="A155" s="5">
        <v>8</v>
      </c>
      <c r="B155" s="5">
        <v>0</v>
      </c>
      <c r="C155" s="5">
        <v>2</v>
      </c>
      <c r="D155" s="5">
        <v>3</v>
      </c>
      <c r="E155" s="6">
        <f t="shared" si="8"/>
        <v>0</v>
      </c>
      <c r="F155" s="7">
        <f t="shared" si="9"/>
        <v>0</v>
      </c>
    </row>
    <row r="156" spans="1:6">
      <c r="A156" s="5">
        <v>8</v>
      </c>
      <c r="B156" s="5">
        <v>0</v>
      </c>
      <c r="C156" s="5">
        <v>2</v>
      </c>
      <c r="D156" s="5">
        <v>2</v>
      </c>
      <c r="E156" s="6">
        <f t="shared" si="8"/>
        <v>1</v>
      </c>
      <c r="F156" s="7">
        <f t="shared" si="9"/>
        <v>1</v>
      </c>
    </row>
    <row r="157" spans="1:6">
      <c r="A157" s="5">
        <v>8</v>
      </c>
      <c r="B157" s="5">
        <v>0</v>
      </c>
      <c r="C157" s="5">
        <v>2</v>
      </c>
      <c r="D157" s="5">
        <v>1</v>
      </c>
      <c r="E157" s="6">
        <f t="shared" si="8"/>
        <v>4</v>
      </c>
      <c r="F157" s="7">
        <f t="shared" si="9"/>
        <v>4</v>
      </c>
    </row>
    <row r="158" spans="1:6">
      <c r="A158" s="5">
        <v>8</v>
      </c>
      <c r="B158" s="5">
        <v>1</v>
      </c>
      <c r="C158" s="5">
        <v>5</v>
      </c>
      <c r="D158" s="5">
        <v>3</v>
      </c>
      <c r="E158" s="6">
        <f t="shared" si="8"/>
        <v>-1</v>
      </c>
      <c r="F158" s="7">
        <f t="shared" si="9"/>
        <v>-0.333333333333333</v>
      </c>
    </row>
    <row r="159" spans="1:6">
      <c r="A159" s="5">
        <v>8</v>
      </c>
      <c r="B159" s="5">
        <v>1</v>
      </c>
      <c r="C159" s="5">
        <v>5</v>
      </c>
      <c r="D159" s="5">
        <v>2</v>
      </c>
      <c r="E159" s="6">
        <f t="shared" si="8"/>
        <v>0</v>
      </c>
      <c r="F159" s="7">
        <f t="shared" si="9"/>
        <v>0.5</v>
      </c>
    </row>
    <row r="160" spans="1:6">
      <c r="A160" s="5">
        <v>8</v>
      </c>
      <c r="B160" s="5">
        <v>1</v>
      </c>
      <c r="C160" s="5">
        <v>5</v>
      </c>
      <c r="D160" s="5">
        <v>1</v>
      </c>
      <c r="E160" s="6">
        <f t="shared" si="8"/>
        <v>3</v>
      </c>
      <c r="F160" s="7">
        <f t="shared" si="9"/>
        <v>3</v>
      </c>
    </row>
    <row r="161" spans="1:6">
      <c r="A161" s="5">
        <v>8</v>
      </c>
      <c r="B161" s="5">
        <v>1</v>
      </c>
      <c r="C161" s="5">
        <v>4</v>
      </c>
      <c r="D161" s="5">
        <v>3</v>
      </c>
      <c r="E161" s="6">
        <f t="shared" si="8"/>
        <v>0</v>
      </c>
      <c r="F161" s="7">
        <f t="shared" si="9"/>
        <v>0</v>
      </c>
    </row>
    <row r="162" spans="1:6">
      <c r="A162" s="5">
        <v>8</v>
      </c>
      <c r="B162" s="5">
        <v>1</v>
      </c>
      <c r="C162" s="5">
        <v>4</v>
      </c>
      <c r="D162" s="5">
        <v>2</v>
      </c>
      <c r="E162" s="6">
        <f t="shared" ref="E162:E181" si="10">TRUNC((A162+2*B162-C162)/D162)+1-3</f>
        <v>1</v>
      </c>
      <c r="F162" s="7">
        <f t="shared" ref="F162:F181" si="11">((A162+2*B162-C162)/D162)+1-3</f>
        <v>1</v>
      </c>
    </row>
    <row r="163" spans="1:6">
      <c r="A163" s="5">
        <v>8</v>
      </c>
      <c r="B163" s="5">
        <v>1</v>
      </c>
      <c r="C163" s="5">
        <v>4</v>
      </c>
      <c r="D163" s="5">
        <v>1</v>
      </c>
      <c r="E163" s="6">
        <f t="shared" si="10"/>
        <v>4</v>
      </c>
      <c r="F163" s="7">
        <f t="shared" si="11"/>
        <v>4</v>
      </c>
    </row>
    <row r="164" spans="1:6">
      <c r="A164" s="5">
        <v>8</v>
      </c>
      <c r="B164" s="5">
        <v>1</v>
      </c>
      <c r="C164" s="5">
        <v>3</v>
      </c>
      <c r="D164" s="5">
        <v>3</v>
      </c>
      <c r="E164" s="6">
        <f t="shared" si="10"/>
        <v>0</v>
      </c>
      <c r="F164" s="7">
        <f t="shared" si="11"/>
        <v>0.333333333333333</v>
      </c>
    </row>
    <row r="165" spans="1:6">
      <c r="A165" s="5">
        <v>8</v>
      </c>
      <c r="B165" s="5">
        <v>1</v>
      </c>
      <c r="C165" s="5">
        <v>3</v>
      </c>
      <c r="D165" s="5">
        <v>2</v>
      </c>
      <c r="E165" s="6">
        <f t="shared" si="10"/>
        <v>1</v>
      </c>
      <c r="F165" s="7">
        <f t="shared" si="11"/>
        <v>1.5</v>
      </c>
    </row>
    <row r="166" spans="1:6">
      <c r="A166" s="5">
        <v>8</v>
      </c>
      <c r="B166" s="5">
        <v>1</v>
      </c>
      <c r="C166" s="5">
        <v>3</v>
      </c>
      <c r="D166" s="5">
        <v>1</v>
      </c>
      <c r="E166" s="6">
        <f t="shared" si="10"/>
        <v>5</v>
      </c>
      <c r="F166" s="7">
        <f t="shared" si="11"/>
        <v>5</v>
      </c>
    </row>
    <row r="167" spans="1:6">
      <c r="A167" s="5">
        <v>8</v>
      </c>
      <c r="B167" s="5">
        <v>1</v>
      </c>
      <c r="C167" s="5">
        <v>2</v>
      </c>
      <c r="D167" s="5">
        <v>3</v>
      </c>
      <c r="E167" s="6">
        <f t="shared" si="10"/>
        <v>0</v>
      </c>
      <c r="F167" s="7">
        <f t="shared" si="11"/>
        <v>0.666666666666667</v>
      </c>
    </row>
    <row r="168" spans="1:6">
      <c r="A168" s="5">
        <v>8</v>
      </c>
      <c r="B168" s="5">
        <v>1</v>
      </c>
      <c r="C168" s="5">
        <v>2</v>
      </c>
      <c r="D168" s="5">
        <v>2</v>
      </c>
      <c r="E168" s="6">
        <f t="shared" si="10"/>
        <v>2</v>
      </c>
      <c r="F168" s="7">
        <f t="shared" si="11"/>
        <v>2</v>
      </c>
    </row>
    <row r="169" spans="1:6">
      <c r="A169" s="5">
        <v>8</v>
      </c>
      <c r="B169" s="5">
        <v>1</v>
      </c>
      <c r="C169" s="5">
        <v>2</v>
      </c>
      <c r="D169" s="5">
        <v>1</v>
      </c>
      <c r="E169" s="6">
        <f t="shared" si="10"/>
        <v>6</v>
      </c>
      <c r="F169" s="7">
        <f t="shared" si="11"/>
        <v>6</v>
      </c>
    </row>
    <row r="170" spans="1:6">
      <c r="A170" s="5">
        <v>8</v>
      </c>
      <c r="B170" s="5">
        <v>2</v>
      </c>
      <c r="C170" s="5">
        <v>5</v>
      </c>
      <c r="D170" s="5">
        <v>3</v>
      </c>
      <c r="E170" s="6">
        <f t="shared" si="10"/>
        <v>0</v>
      </c>
      <c r="F170" s="7">
        <f t="shared" si="11"/>
        <v>0.333333333333333</v>
      </c>
    </row>
    <row r="171" spans="1:6">
      <c r="A171" s="5">
        <v>8</v>
      </c>
      <c r="B171" s="5">
        <v>2</v>
      </c>
      <c r="C171" s="5">
        <v>5</v>
      </c>
      <c r="D171" s="5">
        <v>2</v>
      </c>
      <c r="E171" s="6">
        <f t="shared" si="10"/>
        <v>1</v>
      </c>
      <c r="F171" s="7">
        <f t="shared" si="11"/>
        <v>1.5</v>
      </c>
    </row>
    <row r="172" spans="1:6">
      <c r="A172" s="5">
        <v>8</v>
      </c>
      <c r="B172" s="5">
        <v>2</v>
      </c>
      <c r="C172" s="5">
        <v>5</v>
      </c>
      <c r="D172" s="5">
        <v>1</v>
      </c>
      <c r="E172" s="6">
        <f t="shared" si="10"/>
        <v>5</v>
      </c>
      <c r="F172" s="7">
        <f t="shared" si="11"/>
        <v>5</v>
      </c>
    </row>
    <row r="173" spans="1:6">
      <c r="A173" s="5">
        <v>8</v>
      </c>
      <c r="B173" s="5">
        <v>2</v>
      </c>
      <c r="C173" s="5">
        <v>4</v>
      </c>
      <c r="D173" s="5">
        <v>3</v>
      </c>
      <c r="E173" s="6">
        <f t="shared" si="10"/>
        <v>0</v>
      </c>
      <c r="F173" s="7">
        <f t="shared" si="11"/>
        <v>0.666666666666667</v>
      </c>
    </row>
    <row r="174" spans="1:6">
      <c r="A174" s="5">
        <v>8</v>
      </c>
      <c r="B174" s="5">
        <v>2</v>
      </c>
      <c r="C174" s="5">
        <v>4</v>
      </c>
      <c r="D174" s="5">
        <v>2</v>
      </c>
      <c r="E174" s="6">
        <f t="shared" si="10"/>
        <v>2</v>
      </c>
      <c r="F174" s="7">
        <f t="shared" si="11"/>
        <v>2</v>
      </c>
    </row>
    <row r="175" spans="1:6">
      <c r="A175" s="5">
        <v>8</v>
      </c>
      <c r="B175" s="5">
        <v>2</v>
      </c>
      <c r="C175" s="5">
        <v>4</v>
      </c>
      <c r="D175" s="5">
        <v>1</v>
      </c>
      <c r="E175" s="6">
        <f t="shared" si="10"/>
        <v>6</v>
      </c>
      <c r="F175" s="7">
        <f t="shared" si="11"/>
        <v>6</v>
      </c>
    </row>
    <row r="176" spans="1:6">
      <c r="A176" s="5">
        <v>8</v>
      </c>
      <c r="B176" s="5">
        <v>2</v>
      </c>
      <c r="C176" s="5">
        <v>3</v>
      </c>
      <c r="D176" s="5">
        <v>3</v>
      </c>
      <c r="E176" s="6">
        <f t="shared" si="10"/>
        <v>1</v>
      </c>
      <c r="F176" s="7">
        <f t="shared" si="11"/>
        <v>1</v>
      </c>
    </row>
    <row r="177" spans="1:6">
      <c r="A177" s="5">
        <v>8</v>
      </c>
      <c r="B177" s="5">
        <v>2</v>
      </c>
      <c r="C177" s="5">
        <v>3</v>
      </c>
      <c r="D177" s="5">
        <v>2</v>
      </c>
      <c r="E177" s="6">
        <f t="shared" si="10"/>
        <v>2</v>
      </c>
      <c r="F177" s="7">
        <f t="shared" si="11"/>
        <v>2.5</v>
      </c>
    </row>
    <row r="178" spans="1:6">
      <c r="A178" s="5">
        <v>8</v>
      </c>
      <c r="B178" s="5">
        <v>2</v>
      </c>
      <c r="C178" s="5">
        <v>3</v>
      </c>
      <c r="D178" s="5">
        <v>1</v>
      </c>
      <c r="E178" s="6">
        <f t="shared" si="10"/>
        <v>7</v>
      </c>
      <c r="F178" s="7">
        <f t="shared" si="11"/>
        <v>7</v>
      </c>
    </row>
    <row r="179" spans="1:6">
      <c r="A179" s="5">
        <v>8</v>
      </c>
      <c r="B179" s="5">
        <v>2</v>
      </c>
      <c r="C179" s="5">
        <v>2</v>
      </c>
      <c r="D179" s="5">
        <v>3</v>
      </c>
      <c r="E179" s="6">
        <f t="shared" si="10"/>
        <v>1</v>
      </c>
      <c r="F179" s="7">
        <f t="shared" si="11"/>
        <v>1.33333333333333</v>
      </c>
    </row>
    <row r="180" spans="1:6">
      <c r="A180" s="5">
        <v>8</v>
      </c>
      <c r="B180" s="5">
        <v>2</v>
      </c>
      <c r="C180" s="5">
        <v>2</v>
      </c>
      <c r="D180" s="5">
        <v>2</v>
      </c>
      <c r="E180" s="6">
        <f t="shared" si="10"/>
        <v>3</v>
      </c>
      <c r="F180" s="7">
        <f t="shared" si="11"/>
        <v>3</v>
      </c>
    </row>
    <row r="181" spans="1:6">
      <c r="A181" s="5">
        <v>8</v>
      </c>
      <c r="B181" s="5">
        <v>2</v>
      </c>
      <c r="C181" s="5">
        <v>2</v>
      </c>
      <c r="D181" s="5">
        <v>1</v>
      </c>
      <c r="E181" s="6">
        <f t="shared" si="10"/>
        <v>8</v>
      </c>
      <c r="F181" s="7">
        <f t="shared" si="11"/>
        <v>8</v>
      </c>
    </row>
  </sheetData>
  <autoFilter xmlns:etc="http://www.wps.cn/officeDocument/2017/etCustomData" ref="A1:F18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Operaciones</vt:lpstr>
      <vt:lpstr>Combinaciones Valid_Data</vt:lpstr>
      <vt:lpstr>Hoja1</vt:lpstr>
      <vt:lpstr>Combinaciones Control_Bus_Out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Darian</dc:creator>
  <cp:lastModifiedBy>liese_3</cp:lastModifiedBy>
  <dcterms:created xsi:type="dcterms:W3CDTF">2026-10-13T05:42:00Z</dcterms:created>
  <dcterms:modified xsi:type="dcterms:W3CDTF">2026-10-23T20:28:27Z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16B803581C594F5A895697CA72AB75FF_12</vt:lpwstr>
  </property>
  <property fmtid="{D5CDD505-2E9C-101B-9397-08002B2CF9AE}" pid="3" name="KSOProductBuildVer">
    <vt:lpwstr>3082-12.1.0.28099</vt:lpwstr>
  </property>
  <property fmtid="{D5CDD505-2E9C-101B-9397-08002B2CF9AE}" pid="4" name="CalculationRule">
    <vt:i4>0</vt:i4>
  </property>
</Properties>
</file>